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TOL Aircraft" sheetId="1" r:id="rId4"/>
    <sheet state="visible" name="Top Competitors" sheetId="2" r:id="rId5"/>
    <sheet state="visible" name="Comparison top competitors" sheetId="3" r:id="rId6"/>
  </sheets>
  <definedNames>
    <definedName hidden="1" localSheetId="0" name="_xlnm._FilterDatabase">'eVTOL Aircraft'!$E$1:$E$940</definedName>
    <definedName hidden="1" localSheetId="0" name="Z_CDF779C1_6D2E_4C87_BBF1_2992DD354FF3_.wvu.FilterData">'eVTOL Aircraft'!$A$1:$R$68</definedName>
  </definedNames>
  <calcPr/>
  <customWorkbookViews>
    <customWorkbookView activeSheetId="0" maximized="1" windowHeight="0" windowWidth="0" guid="{CDF779C1-6D2E-4C87-BBF1-2992DD354FF3}" name="Filter 1"/>
  </customWorkbookViews>
</workbook>
</file>

<file path=xl/sharedStrings.xml><?xml version="1.0" encoding="utf-8"?>
<sst xmlns="http://schemas.openxmlformats.org/spreadsheetml/2006/main" count="598" uniqueCount="269">
  <si>
    <t>Company</t>
  </si>
  <si>
    <t>EVTOL name</t>
  </si>
  <si>
    <t>Year</t>
  </si>
  <si>
    <t>Link to information</t>
  </si>
  <si>
    <t>Configuration</t>
  </si>
  <si>
    <t># of propellers</t>
  </si>
  <si>
    <t>Type of propulsion (electric-hydrogen-hybrid-...)</t>
  </si>
  <si>
    <t>Number of seats (pax) - payload (kg)</t>
  </si>
  <si>
    <t>Piloted (yes or no)</t>
  </si>
  <si>
    <t>MTOW(kg)</t>
  </si>
  <si>
    <t>Autonomy (h)</t>
  </si>
  <si>
    <t>Range (km)</t>
  </si>
  <si>
    <t>Motor Power (kW)</t>
  </si>
  <si>
    <t>number or motors</t>
  </si>
  <si>
    <t>Operating cost ($/seat per mile)</t>
  </si>
  <si>
    <t>Has flown? (yes or not)</t>
  </si>
  <si>
    <t>Battery capacity (kWh)</t>
  </si>
  <si>
    <t>Cruise speed (km/h)</t>
  </si>
  <si>
    <t>Aerial Vehicle Automation</t>
  </si>
  <si>
    <t>X8</t>
  </si>
  <si>
    <t>https://evtol.news/aerial-vehicle-automation-x8/</t>
  </si>
  <si>
    <t>Multicopter</t>
  </si>
  <si>
    <t>Electric</t>
  </si>
  <si>
    <t>no</t>
  </si>
  <si>
    <t>yes</t>
  </si>
  <si>
    <t>ARC Aerosystems</t>
  </si>
  <si>
    <t>Q-Starling</t>
  </si>
  <si>
    <t>https://evtol.news/samad-starling-sport</t>
  </si>
  <si>
    <t xml:space="preserve">L+C </t>
  </si>
  <si>
    <t>Hybrid</t>
  </si>
  <si>
    <t>Airbus Acubed</t>
  </si>
  <si>
    <t>Vahana Alpha Two</t>
  </si>
  <si>
    <t>https://evtol.news/acubed-vahana-alpha-two-defunct</t>
  </si>
  <si>
    <t>Vectored Thrust</t>
  </si>
  <si>
    <t>Aura Aerospace</t>
  </si>
  <si>
    <t>Guardian G1</t>
  </si>
  <si>
    <t>https://evtol.news/aura-aerospace-guardian-g1-production-model</t>
  </si>
  <si>
    <t>Bee Flights</t>
  </si>
  <si>
    <t>Bee-1</t>
  </si>
  <si>
    <t>https://evtol.news/bee-flights-bee-1</t>
  </si>
  <si>
    <t>Hybrid-electric</t>
  </si>
  <si>
    <t>B-Technology</t>
  </si>
  <si>
    <t>Beccarii</t>
  </si>
  <si>
    <t>https://evtol.news/b-technology-beccarii</t>
  </si>
  <si>
    <t>Hybrid-electric Gas Turbine + Electric Generator</t>
  </si>
  <si>
    <t>CAPS</t>
  </si>
  <si>
    <t>https://evtol.news/caps-production-aircraft</t>
  </si>
  <si>
    <t>electric motors</t>
  </si>
  <si>
    <t xml:space="preserve">Aurora Flight Sciences </t>
  </si>
  <si>
    <t>Pegasus PAV</t>
  </si>
  <si>
    <t>https://evtol.news/aurora/</t>
  </si>
  <si>
    <t>yes/no</t>
  </si>
  <si>
    <t>Doroni Aerospace</t>
  </si>
  <si>
    <t>H1</t>
  </si>
  <si>
    <t>https://evtol.news/doroni-h1</t>
  </si>
  <si>
    <t>EHang</t>
  </si>
  <si>
    <t>VT-30</t>
  </si>
  <si>
    <t>https://evtol.news/ehang-vt30</t>
  </si>
  <si>
    <t>Archer Aviation Inc.</t>
  </si>
  <si>
    <t>Midnight</t>
  </si>
  <si>
    <t>https://evtol.news/archer-maker</t>
  </si>
  <si>
    <t>Vahana Beta</t>
  </si>
  <si>
    <t>https://evtol.news/airbus-acubed-vahana-beta-concept-design</t>
  </si>
  <si>
    <t>No</t>
  </si>
  <si>
    <t>ACS Aviation</t>
  </si>
  <si>
    <t>Z-300</t>
  </si>
  <si>
    <t>https://evtol.news/acs-aviation-z-300/</t>
  </si>
  <si>
    <t>Semi-auto</t>
  </si>
  <si>
    <t>AirCar Corp.</t>
  </si>
  <si>
    <t>AirCar</t>
  </si>
  <si>
    <t>https://evtol.news/aircar-production-model</t>
  </si>
  <si>
    <t>Astro Aerospace</t>
  </si>
  <si>
    <t>Elroy</t>
  </si>
  <si>
    <t>https://evtol.news/passenger-drone/</t>
  </si>
  <si>
    <t>Cartivator</t>
  </si>
  <si>
    <t>SkyDrive</t>
  </si>
  <si>
    <t>https://evtol.news/cartivator-skydrive-concept-design</t>
  </si>
  <si>
    <t>Ehang</t>
  </si>
  <si>
    <t>Ehang 2016</t>
  </si>
  <si>
    <t>https://evtol.news/ehang-216/</t>
  </si>
  <si>
    <t>Flutr Motors</t>
  </si>
  <si>
    <t>Flutr</t>
  </si>
  <si>
    <t>https://evtol.news/flutr-motors-flutr/</t>
  </si>
  <si>
    <t>hybrid-electric</t>
  </si>
  <si>
    <t>Hover Surf</t>
  </si>
  <si>
    <t>Formula 2</t>
  </si>
  <si>
    <t>https://evtol.news/hoversurf-formula-no-wing/</t>
  </si>
  <si>
    <t>Moog Inc.</t>
  </si>
  <si>
    <t>SureFly</t>
  </si>
  <si>
    <t>https://evtol.news/workhorse/</t>
  </si>
  <si>
    <t>8 electric motors</t>
  </si>
  <si>
    <t>Dual Lithium Battery Packs: 7.5 kWh each</t>
  </si>
  <si>
    <t>Airbus, Audi</t>
  </si>
  <si>
    <t>Pop.Up Next</t>
  </si>
  <si>
    <t>https://evtol.news/pop-up-next/</t>
  </si>
  <si>
    <t>SD-XX</t>
  </si>
  <si>
    <t>https://evtol.news/skydrive-sd-xx</t>
  </si>
  <si>
    <t>Airbus</t>
  </si>
  <si>
    <t>CityAirbus NextGen</t>
  </si>
  <si>
    <t>https://evtol.news/airbus-cityairbus-nextgen</t>
  </si>
  <si>
    <t>not</t>
  </si>
  <si>
    <t>Ascensance Flight Technologies</t>
  </si>
  <si>
    <t>ATEA</t>
  </si>
  <si>
    <t>https://evtol.news/atea/</t>
  </si>
  <si>
    <t>Volante Vision</t>
  </si>
  <si>
    <t>Aston Martin</t>
  </si>
  <si>
    <t>https://evtol.news/aston-martin-volante/</t>
  </si>
  <si>
    <t>AIREV</t>
  </si>
  <si>
    <t>AIR ONE</t>
  </si>
  <si>
    <t>https://evtol.news/air-one</t>
  </si>
  <si>
    <t>Moller international</t>
  </si>
  <si>
    <t>Firefly</t>
  </si>
  <si>
    <t>https://evtol.news/moller-international-firefly</t>
  </si>
  <si>
    <t>Aeroelektromash</t>
  </si>
  <si>
    <t>R-34</t>
  </si>
  <si>
    <t>https://evtol.news/aeroelektromash-r-34</t>
  </si>
  <si>
    <t>1 electric motor + 1 rotax engine</t>
  </si>
  <si>
    <t>ARC Aerosystems Linx P3</t>
  </si>
  <si>
    <t>https://evtol.news/arc-aerosystems-linx-p3</t>
  </si>
  <si>
    <t>electric</t>
  </si>
  <si>
    <t>2 electric motors</t>
  </si>
  <si>
    <t>Aerofugia Technology</t>
  </si>
  <si>
    <t>TF-2</t>
  </si>
  <si>
    <t>https://evtol.news/aerofugia-technology-company-tf-2</t>
  </si>
  <si>
    <t>ATEA (production)</t>
  </si>
  <si>
    <t>https://evtol.news/ascendance-flight-technologies-atea</t>
  </si>
  <si>
    <t>Autoflight</t>
  </si>
  <si>
    <t>Prosperity I (V1500M)</t>
  </si>
  <si>
    <t>https://evtol.news/autoflight-v1500m</t>
  </si>
  <si>
    <t>Beta technologies</t>
  </si>
  <si>
    <t>ALIA-250</t>
  </si>
  <si>
    <t>https://evtol.news/beta-technologies-alia/</t>
  </si>
  <si>
    <t>Braunwagner</t>
  </si>
  <si>
    <t>SkyCab</t>
  </si>
  <si>
    <t>https://evtol.news/braunwagner-skycab</t>
  </si>
  <si>
    <t>Eve Air Mobility</t>
  </si>
  <si>
    <t>Eve</t>
  </si>
  <si>
    <t>https://evtol.news/eve-air-mobility-eve-production-model</t>
  </si>
  <si>
    <t>Georgia Institute of Technology</t>
  </si>
  <si>
    <t>Balto</t>
  </si>
  <si>
    <t>https://evtol.news/georgia-institute-of-technology-balto</t>
  </si>
  <si>
    <t>Pipistrel</t>
  </si>
  <si>
    <t>https://evtol.news/pipistrel-801-evtol/</t>
  </si>
  <si>
    <t>Rensselaer Polytechnic Institute</t>
  </si>
  <si>
    <t>Oliwhoper</t>
  </si>
  <si>
    <t>https://evtol.news/rensselaer-polytechnic-institute-oliwhoper</t>
  </si>
  <si>
    <t>TechXGeek</t>
  </si>
  <si>
    <t>Marie</t>
  </si>
  <si>
    <t>https://evtol.news/techxgeek-marie</t>
  </si>
  <si>
    <t>hybrid</t>
  </si>
  <si>
    <t>Urban Aeronautics</t>
  </si>
  <si>
    <t>CityHawk</t>
  </si>
  <si>
    <t>https://evtol.news/urban-aeronautics-cityhawk/</t>
  </si>
  <si>
    <t>Volant Aerotech</t>
  </si>
  <si>
    <t>VE25 X1</t>
  </si>
  <si>
    <t>https://evtol.news/volant-aerotech-ve25-x1-technology-demonstrator</t>
  </si>
  <si>
    <t>Volocopter</t>
  </si>
  <si>
    <t>VoloRegion</t>
  </si>
  <si>
    <t>https://evtol.news/volocopter-voloconnect</t>
  </si>
  <si>
    <t>8 or more</t>
  </si>
  <si>
    <t>Joby Aviation</t>
  </si>
  <si>
    <t>S4</t>
  </si>
  <si>
    <t>https://evtol.news/joby-aviation-s4-production-prototype</t>
  </si>
  <si>
    <t>Coflow Jet, LLC.</t>
  </si>
  <si>
    <t>CFJ-VTOL</t>
  </si>
  <si>
    <t>https://evtol.news/coflow-jet-cfj-vtol-concept-design</t>
  </si>
  <si>
    <t>Airbus CityAirbus</t>
  </si>
  <si>
    <t>https://evtol.news/airbus-helicopters/</t>
  </si>
  <si>
    <t>Wisk</t>
  </si>
  <si>
    <t>Generation 6</t>
  </si>
  <si>
    <t>https://wisk.aero/aircraft/</t>
  </si>
  <si>
    <t>price target of $3 per passenger, per mile.</t>
  </si>
  <si>
    <t>Vertaxi</t>
  </si>
  <si>
    <t xml:space="preserve">Matrix 1 </t>
  </si>
  <si>
    <t>https://evtol.news/vertaxi-matrix-1-prototype</t>
  </si>
  <si>
    <t>ZeroG Aircraft Industry Co.</t>
  </si>
  <si>
    <t>ZG-VC2</t>
  </si>
  <si>
    <t>https://evtol.news/zero-gravity-zg-vc2</t>
  </si>
  <si>
    <t>Airspace Experience Technologies</t>
  </si>
  <si>
    <t>MOBi-One V3</t>
  </si>
  <si>
    <t>https://evtol.news/airspace-experience-technologies-asx-mobi-one-v3</t>
  </si>
  <si>
    <t>Hybrid Electric</t>
  </si>
  <si>
    <t>IO Aircraft</t>
  </si>
  <si>
    <t>Aelous</t>
  </si>
  <si>
    <t>https://evtol.news/io-aircraft-aelous</t>
  </si>
  <si>
    <t>Vertical Aerospace</t>
  </si>
  <si>
    <t>VX4</t>
  </si>
  <si>
    <t>https://evtol.news/vertical-aerospace-VA-1X</t>
  </si>
  <si>
    <t>8 propellers</t>
  </si>
  <si>
    <t>Horizon Aircraft</t>
  </si>
  <si>
    <t>Cavorite X7</t>
  </si>
  <si>
    <t>https://evtol.news/horizon-aircraft-cavorite-x7</t>
  </si>
  <si>
    <t>BETA</t>
  </si>
  <si>
    <t>ALIA VTOL</t>
  </si>
  <si>
    <t>https://evtol.news/beta-technologies-prototype/</t>
  </si>
  <si>
    <t>TX-0001</t>
  </si>
  <si>
    <t>Aufeer Design</t>
  </si>
  <si>
    <t>https://evtol.news/autonomous-flight-y6s-plus</t>
  </si>
  <si>
    <t>Electric Li-ion</t>
  </si>
  <si>
    <t>AMSL Aero Pty Ltd</t>
  </si>
  <si>
    <t>Vertiia</t>
  </si>
  <si>
    <t>https://evtol.news/vertiia/</t>
  </si>
  <si>
    <t>Lilium</t>
  </si>
  <si>
    <t>7 seater</t>
  </si>
  <si>
    <t>https://evtol.news/lilium-gmbh-lilium-jet-7-seater</t>
  </si>
  <si>
    <t>Limosa</t>
  </si>
  <si>
    <t>LimoConnect</t>
  </si>
  <si>
    <t>https://www.limosa.ca/</t>
  </si>
  <si>
    <t>Dufour Aerospace</t>
  </si>
  <si>
    <t>Aero3</t>
  </si>
  <si>
    <r>
      <rPr>
        <color rgb="FF1155CC"/>
        <u/>
      </rPr>
      <t>https://evtol.news/dufour-aerospace-aero3-production-aircraft</t>
    </r>
    <r>
      <rPr/>
      <t>t</t>
    </r>
  </si>
  <si>
    <t>Eversor</t>
  </si>
  <si>
    <t>https://evtol.news/american-aerospace-engineering-eversor</t>
  </si>
  <si>
    <t>Electric and JetA</t>
  </si>
  <si>
    <t>Optional</t>
  </si>
  <si>
    <t>Uniqopter Inc.</t>
  </si>
  <si>
    <t>Uniqopter</t>
  </si>
  <si>
    <t>https://evtol.news/uniqopter-uniqopter</t>
  </si>
  <si>
    <t>ARC Aerosystems Linx P9</t>
  </si>
  <si>
    <t>https://evtol.news/arc-aero-systems-linx-p9</t>
  </si>
  <si>
    <t>aeroG Aviation LLC</t>
  </si>
  <si>
    <t>aG-4 Liberty</t>
  </si>
  <si>
    <t>https://evtol.news/aerog-aviation-ag-4/</t>
  </si>
  <si>
    <t>Uber Elevate</t>
  </si>
  <si>
    <t>https://evtol.news/uber-elevate-ecrm-002/</t>
  </si>
  <si>
    <t>https://evtol.news/uber-elevate-ecrm-003/</t>
  </si>
  <si>
    <t>Sigma-6</t>
  </si>
  <si>
    <t>https://evtol.news/airspace-experience-technologies-asx-sigma-six</t>
  </si>
  <si>
    <t>Aviation Artur Trendak</t>
  </si>
  <si>
    <t>t6</t>
  </si>
  <si>
    <t>https://evtol.news/aviation-artur-trendak-t6</t>
  </si>
  <si>
    <t>3 electric motors</t>
  </si>
  <si>
    <t>propellers</t>
  </si>
  <si>
    <t>Type of propulsion</t>
  </si>
  <si>
    <t>Number of seats</t>
  </si>
  <si>
    <t>Piloted</t>
  </si>
  <si>
    <t>4 dedicated VTOL propellers and 1 pusher propeller</t>
  </si>
  <si>
    <t>Jet 7 seater</t>
  </si>
  <si>
    <t>36 electric vectored thrust (DEVT) fans</t>
  </si>
  <si>
    <t>archer aviation</t>
  </si>
  <si>
    <t>https://evtol.news/archer/</t>
  </si>
  <si>
    <t>3 fan in wing and fuselage. 1 turbine</t>
  </si>
  <si>
    <t>6 VTOL propellers, two ducted fans for forward flight</t>
  </si>
  <si>
    <t>Aircraft name</t>
  </si>
  <si>
    <t>Benefits</t>
  </si>
  <si>
    <t>Drawbacks</t>
  </si>
  <si>
    <t>Production capacity 
Global network of partners</t>
  </si>
  <si>
    <t>Limited Range
It has not flown yet
Size(voluminous)
Limited Autonomy
Requires a pilot</t>
  </si>
  <si>
    <t>High range
High speed
Suitable for longer flights
Heritage (+1000 hours of flight)
Part 135 air carrier certificate from the FAA</t>
  </si>
  <si>
    <t>Size (voluminous)
Limited autonomy
Requires a pilot</t>
  </si>
  <si>
    <t>https://www.aopa.org/news-and-media/all-news/2023/april/pilot/joby-s4-coming-to-you-in-2025</t>
  </si>
  <si>
    <t>High range
High speed
High autonomy
Suitable for longer flights
Heritage (flight time)</t>
  </si>
  <si>
    <t>Size (voluminous) wingspan: 15 m
Requires a pilot</t>
  </si>
  <si>
    <t>Heritage (flight time)
Autonomous</t>
  </si>
  <si>
    <t>Size (voluminous) wingspan: 15 m
Limited autonomy</t>
  </si>
  <si>
    <t>Autonomous</t>
  </si>
  <si>
    <t>Size (voluminous) wingspan: 15 m
Limited autonomy
Has not flown</t>
  </si>
  <si>
    <t>Jet</t>
  </si>
  <si>
    <t xml:space="preserve">High range
Compact design
High payload
Design Organization Approval by EASA
</t>
  </si>
  <si>
    <t>Requires a pilot</t>
  </si>
  <si>
    <t>FAA approval for flight test operations
High range
High cruise speed</t>
  </si>
  <si>
    <t>Limited autonomy
Heavy
Requires a pilot</t>
  </si>
  <si>
    <t>https://investors.archer.com/news/news-details/2023/After-Archer-Recently-Received-FAA-Certificate-Necessary-To-Begin-Flying-Midnight-It-Continues-Hitting-Key-Certification-Milestones-On-Schedule-As-FAA-Starts-To-Approve-Midnights-Certification-Plans/default.aspx</t>
  </si>
  <si>
    <t>High range
High Autonomy</t>
  </si>
  <si>
    <t>Higher complexity 
Higher maintenance cost
Operating emissions
Requires a pilot</t>
  </si>
  <si>
    <t>Autonomous
Good payload weight</t>
  </si>
  <si>
    <t xml:space="preserve">Limited autonomy
Size (voluminous) wingspan: 15 m
</t>
  </si>
  <si>
    <t>Autonomous
High range</t>
  </si>
  <si>
    <t>Limited autonomy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</si>
</sst>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color rgb="FF000000"/>
      <name val="Arial"/>
    </font>
    <font>
      <sz val="9.0"/>
      <color rgb="FF1F1F1F"/>
      <name val="&quot;Google Sans&quot;"/>
    </font>
    <font>
      <u/>
      <color rgb="FF0000FF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b/>
      <sz val="13.0"/>
      <color theme="1"/>
      <name val="Arial"/>
      <scheme val="minor"/>
    </font>
    <font>
      <sz val="11.0"/>
      <color rgb="FF000000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1" fillId="2" fontId="2" numFmtId="0" xfId="0" applyAlignment="1" applyBorder="1" applyFill="1" applyFont="1">
      <alignment readingOrder="0" shrinkToFit="0" wrapText="1"/>
    </xf>
    <xf borderId="1" fillId="2" fontId="5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2" fontId="2" numFmtId="0" xfId="0" applyBorder="1" applyFont="1"/>
    <xf borderId="1" fillId="2" fontId="9" numFmtId="0" xfId="0" applyAlignment="1" applyBorder="1" applyFont="1">
      <alignment horizontal="left" readingOrder="0"/>
    </xf>
    <xf borderId="1" fillId="2" fontId="5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10" numFmtId="0" xfId="0" applyAlignment="1" applyBorder="1" applyFill="1" applyFont="1">
      <alignment readingOrder="0"/>
    </xf>
    <xf borderId="1" fillId="2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1" fillId="3" fontId="13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1" fillId="3" fontId="2" numFmtId="0" xfId="0" applyBorder="1" applyFont="1"/>
    <xf borderId="0" fillId="2" fontId="2" numFmtId="0" xfId="0" applyFont="1"/>
    <xf borderId="0" fillId="2" fontId="2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readingOrder="0" shrinkToFit="0" wrapText="1"/>
    </xf>
    <xf borderId="1" fillId="4" fontId="17" numFmtId="0" xfId="0" applyAlignment="1" applyBorder="1" applyFill="1" applyFont="1">
      <alignment readingOrder="0" shrinkToFit="0" wrapText="1"/>
    </xf>
    <xf borderId="1" fillId="5" fontId="17" numFmtId="0" xfId="0" applyAlignment="1" applyBorder="1" applyFill="1" applyFont="1">
      <alignment readingOrder="0" shrinkToFit="0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0" fillId="0" fontId="19" numFmtId="0" xfId="0" applyAlignment="1" applyFont="1">
      <alignment readingOrder="0" shrinkToFit="0" wrapText="1"/>
    </xf>
    <xf borderId="0" fillId="4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vtol.news/urban-aeronautics-cityhawk/" TargetMode="External"/><Relationship Id="rId42" Type="http://schemas.openxmlformats.org/officeDocument/2006/relationships/hyperlink" Target="https://evtol.news/volocopter-voloconnect" TargetMode="External"/><Relationship Id="rId41" Type="http://schemas.openxmlformats.org/officeDocument/2006/relationships/hyperlink" Target="https://evtol.news/volant-aerotech-ve25-x1-technology-demonstrator" TargetMode="External"/><Relationship Id="rId44" Type="http://schemas.openxmlformats.org/officeDocument/2006/relationships/hyperlink" Target="https://evtol.news/coflow-jet-cfj-vtol-concept-design" TargetMode="External"/><Relationship Id="rId43" Type="http://schemas.openxmlformats.org/officeDocument/2006/relationships/hyperlink" Target="https://evtol.news/joby-aviation-s4-production-prototype" TargetMode="External"/><Relationship Id="rId46" Type="http://schemas.openxmlformats.org/officeDocument/2006/relationships/hyperlink" Target="https://wisk.aero/aircraft/" TargetMode="External"/><Relationship Id="rId45" Type="http://schemas.openxmlformats.org/officeDocument/2006/relationships/hyperlink" Target="https://evtol.news/airbus-helicopters/" TargetMode="External"/><Relationship Id="rId1" Type="http://schemas.openxmlformats.org/officeDocument/2006/relationships/hyperlink" Target="https://evtol.news/aerial-vehicle-automation-x8/" TargetMode="External"/><Relationship Id="rId2" Type="http://schemas.openxmlformats.org/officeDocument/2006/relationships/hyperlink" Target="https://evtol.news/samad-starling-sport" TargetMode="External"/><Relationship Id="rId3" Type="http://schemas.openxmlformats.org/officeDocument/2006/relationships/hyperlink" Target="https://evtol.news/acubed-vahana-alpha-two-defunct" TargetMode="External"/><Relationship Id="rId4" Type="http://schemas.openxmlformats.org/officeDocument/2006/relationships/hyperlink" Target="https://evtol.news/aura-aerospace-guardian-g1-production-model" TargetMode="External"/><Relationship Id="rId9" Type="http://schemas.openxmlformats.org/officeDocument/2006/relationships/hyperlink" Target="https://evtol.news/doroni-h1" TargetMode="External"/><Relationship Id="rId48" Type="http://schemas.openxmlformats.org/officeDocument/2006/relationships/hyperlink" Target="https://evtol.news/vertaxi-matrix-1-prototype" TargetMode="External"/><Relationship Id="rId47" Type="http://schemas.openxmlformats.org/officeDocument/2006/relationships/hyperlink" Target="https://evtol.news/joby-aviation-s4-production-prototype" TargetMode="External"/><Relationship Id="rId49" Type="http://schemas.openxmlformats.org/officeDocument/2006/relationships/hyperlink" Target="https://evtol.news/zero-gravity-zg-vc2" TargetMode="External"/><Relationship Id="rId5" Type="http://schemas.openxmlformats.org/officeDocument/2006/relationships/hyperlink" Target="https://evtol.news/bee-flights-bee-1" TargetMode="External"/><Relationship Id="rId6" Type="http://schemas.openxmlformats.org/officeDocument/2006/relationships/hyperlink" Target="https://evtol.news/b-technology-beccarii" TargetMode="External"/><Relationship Id="rId7" Type="http://schemas.openxmlformats.org/officeDocument/2006/relationships/hyperlink" Target="https://evtol.news/caps-production-aircraft" TargetMode="External"/><Relationship Id="rId8" Type="http://schemas.openxmlformats.org/officeDocument/2006/relationships/hyperlink" Target="https://evtol.news/aurora/" TargetMode="External"/><Relationship Id="rId31" Type="http://schemas.openxmlformats.org/officeDocument/2006/relationships/hyperlink" Target="https://evtol.news/ascendance-flight-technologies-atea" TargetMode="External"/><Relationship Id="rId30" Type="http://schemas.openxmlformats.org/officeDocument/2006/relationships/hyperlink" Target="https://evtol.news/aerofugia-technology-company-tf-2" TargetMode="External"/><Relationship Id="rId33" Type="http://schemas.openxmlformats.org/officeDocument/2006/relationships/hyperlink" Target="https://evtol.news/beta-technologies-alia/" TargetMode="External"/><Relationship Id="rId32" Type="http://schemas.openxmlformats.org/officeDocument/2006/relationships/hyperlink" Target="https://evtol.news/autoflight-v1500m" TargetMode="External"/><Relationship Id="rId35" Type="http://schemas.openxmlformats.org/officeDocument/2006/relationships/hyperlink" Target="https://evtol.news/eve-air-mobility-eve-production-model" TargetMode="External"/><Relationship Id="rId34" Type="http://schemas.openxmlformats.org/officeDocument/2006/relationships/hyperlink" Target="https://evtol.news/braunwagner-skycab" TargetMode="External"/><Relationship Id="rId37" Type="http://schemas.openxmlformats.org/officeDocument/2006/relationships/hyperlink" Target="https://evtol.news/pipistrel-801-evtol/" TargetMode="External"/><Relationship Id="rId36" Type="http://schemas.openxmlformats.org/officeDocument/2006/relationships/hyperlink" Target="https://evtol.news/georgia-institute-of-technology-balto" TargetMode="External"/><Relationship Id="rId39" Type="http://schemas.openxmlformats.org/officeDocument/2006/relationships/hyperlink" Target="https://evtol.news/techxgeek-marie" TargetMode="External"/><Relationship Id="rId38" Type="http://schemas.openxmlformats.org/officeDocument/2006/relationships/hyperlink" Target="https://evtol.news/rensselaer-polytechnic-institute-oliwhoper" TargetMode="External"/><Relationship Id="rId62" Type="http://schemas.openxmlformats.org/officeDocument/2006/relationships/hyperlink" Target="https://evtol.news/arc-aero-systems-linx-p9" TargetMode="External"/><Relationship Id="rId61" Type="http://schemas.openxmlformats.org/officeDocument/2006/relationships/hyperlink" Target="https://evtol.news/uniqopter-uniqopter" TargetMode="External"/><Relationship Id="rId20" Type="http://schemas.openxmlformats.org/officeDocument/2006/relationships/hyperlink" Target="https://evtol.news/workhorse/" TargetMode="External"/><Relationship Id="rId64" Type="http://schemas.openxmlformats.org/officeDocument/2006/relationships/hyperlink" Target="https://evtol.news/uber-elevate-ecrm-002/" TargetMode="External"/><Relationship Id="rId63" Type="http://schemas.openxmlformats.org/officeDocument/2006/relationships/hyperlink" Target="https://evtol.news/aerog-aviation-ag-4/" TargetMode="External"/><Relationship Id="rId22" Type="http://schemas.openxmlformats.org/officeDocument/2006/relationships/hyperlink" Target="https://evtol.news/skydrive-sd-xx" TargetMode="External"/><Relationship Id="rId66" Type="http://schemas.openxmlformats.org/officeDocument/2006/relationships/hyperlink" Target="https://evtol.news/airspace-experience-technologies-asx-sigma-six" TargetMode="External"/><Relationship Id="rId21" Type="http://schemas.openxmlformats.org/officeDocument/2006/relationships/hyperlink" Target="https://evtol.news/pop-up-next/" TargetMode="External"/><Relationship Id="rId65" Type="http://schemas.openxmlformats.org/officeDocument/2006/relationships/hyperlink" Target="https://evtol.news/uber-elevate-ecrm-003/" TargetMode="External"/><Relationship Id="rId24" Type="http://schemas.openxmlformats.org/officeDocument/2006/relationships/hyperlink" Target="https://evtol.news/atea/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evtol.news/airbus-cityairbus-nextgen" TargetMode="External"/><Relationship Id="rId67" Type="http://schemas.openxmlformats.org/officeDocument/2006/relationships/hyperlink" Target="https://evtol.news/aviation-artur-trendak-t6" TargetMode="External"/><Relationship Id="rId60" Type="http://schemas.openxmlformats.org/officeDocument/2006/relationships/hyperlink" Target="https://evtol.news/american-aerospace-engineering-eversor" TargetMode="External"/><Relationship Id="rId26" Type="http://schemas.openxmlformats.org/officeDocument/2006/relationships/hyperlink" Target="https://evtol.news/air-one" TargetMode="External"/><Relationship Id="rId25" Type="http://schemas.openxmlformats.org/officeDocument/2006/relationships/hyperlink" Target="https://evtol.news/aston-martin-volante/" TargetMode="External"/><Relationship Id="rId28" Type="http://schemas.openxmlformats.org/officeDocument/2006/relationships/hyperlink" Target="https://evtol.news/aeroelektromash-r-34" TargetMode="External"/><Relationship Id="rId27" Type="http://schemas.openxmlformats.org/officeDocument/2006/relationships/hyperlink" Target="https://evtol.news/moller-international-firefly" TargetMode="External"/><Relationship Id="rId29" Type="http://schemas.openxmlformats.org/officeDocument/2006/relationships/hyperlink" Target="https://evtol.news/arc-aerosystems-linx-p3" TargetMode="External"/><Relationship Id="rId51" Type="http://schemas.openxmlformats.org/officeDocument/2006/relationships/hyperlink" Target="https://evtol.news/io-aircraft-aelous" TargetMode="External"/><Relationship Id="rId50" Type="http://schemas.openxmlformats.org/officeDocument/2006/relationships/hyperlink" Target="https://evtol.news/airspace-experience-technologies-asx-mobi-one-v3" TargetMode="External"/><Relationship Id="rId53" Type="http://schemas.openxmlformats.org/officeDocument/2006/relationships/hyperlink" Target="https://evtol.news/horizon-aircraft-cavorite-x7" TargetMode="External"/><Relationship Id="rId52" Type="http://schemas.openxmlformats.org/officeDocument/2006/relationships/hyperlink" Target="https://evtol.news/vertical-aerospace-VA-1X" TargetMode="External"/><Relationship Id="rId11" Type="http://schemas.openxmlformats.org/officeDocument/2006/relationships/hyperlink" Target="https://evtol.news/archer-maker" TargetMode="External"/><Relationship Id="rId55" Type="http://schemas.openxmlformats.org/officeDocument/2006/relationships/hyperlink" Target="https://evtol.news/autonomous-flight-y6s-plus" TargetMode="External"/><Relationship Id="rId10" Type="http://schemas.openxmlformats.org/officeDocument/2006/relationships/hyperlink" Target="https://evtol.news/ehang-vt30" TargetMode="External"/><Relationship Id="rId54" Type="http://schemas.openxmlformats.org/officeDocument/2006/relationships/hyperlink" Target="https://evtol.news/beta-technologies-prototype/" TargetMode="External"/><Relationship Id="rId13" Type="http://schemas.openxmlformats.org/officeDocument/2006/relationships/hyperlink" Target="https://evtol.news/acs-aviation-z-300/" TargetMode="External"/><Relationship Id="rId57" Type="http://schemas.openxmlformats.org/officeDocument/2006/relationships/hyperlink" Target="https://evtol.news/lilium-gmbh-lilium-jet-7-seater" TargetMode="External"/><Relationship Id="rId12" Type="http://schemas.openxmlformats.org/officeDocument/2006/relationships/hyperlink" Target="https://evtol.news/airbus-acubed-vahana-beta-concept-design" TargetMode="External"/><Relationship Id="rId56" Type="http://schemas.openxmlformats.org/officeDocument/2006/relationships/hyperlink" Target="https://evtol.news/vertiia/" TargetMode="External"/><Relationship Id="rId15" Type="http://schemas.openxmlformats.org/officeDocument/2006/relationships/hyperlink" Target="https://evtol.news/passenger-drone/" TargetMode="External"/><Relationship Id="rId59" Type="http://schemas.openxmlformats.org/officeDocument/2006/relationships/hyperlink" Target="https://evtol.news/dufour-aerospace-aero3-production-aircraft" TargetMode="External"/><Relationship Id="rId14" Type="http://schemas.openxmlformats.org/officeDocument/2006/relationships/hyperlink" Target="https://evtol.news/aircar-production-model" TargetMode="External"/><Relationship Id="rId58" Type="http://schemas.openxmlformats.org/officeDocument/2006/relationships/hyperlink" Target="https://www.limosa.ca/" TargetMode="External"/><Relationship Id="rId17" Type="http://schemas.openxmlformats.org/officeDocument/2006/relationships/hyperlink" Target="https://evtol.news/ehang-216/" TargetMode="External"/><Relationship Id="rId16" Type="http://schemas.openxmlformats.org/officeDocument/2006/relationships/hyperlink" Target="https://evtol.news/cartivator-skydrive-concept-design" TargetMode="External"/><Relationship Id="rId19" Type="http://schemas.openxmlformats.org/officeDocument/2006/relationships/hyperlink" Target="https://evtol.news/hoversurf-formula-no-wing/" TargetMode="External"/><Relationship Id="rId18" Type="http://schemas.openxmlformats.org/officeDocument/2006/relationships/hyperlink" Target="https://evtol.news/flutr-motors-flut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vtol.news/airbus-cityairbus-nextgen" TargetMode="External"/><Relationship Id="rId2" Type="http://schemas.openxmlformats.org/officeDocument/2006/relationships/hyperlink" Target="https://evtol.news/beta-technologies-alia/" TargetMode="External"/><Relationship Id="rId3" Type="http://schemas.openxmlformats.org/officeDocument/2006/relationships/hyperlink" Target="https://evtol.news/joby-aviation-s4-production-prototype" TargetMode="External"/><Relationship Id="rId4" Type="http://schemas.openxmlformats.org/officeDocument/2006/relationships/hyperlink" Target="https://evtol.news/vertical-aerospace-VA-1X" TargetMode="External"/><Relationship Id="rId9" Type="http://schemas.openxmlformats.org/officeDocument/2006/relationships/hyperlink" Target="https://evtol.news/autoflight-v1500m" TargetMode="External"/><Relationship Id="rId5" Type="http://schemas.openxmlformats.org/officeDocument/2006/relationships/hyperlink" Target="https://wisk.aero/aircraft/" TargetMode="External"/><Relationship Id="rId6" Type="http://schemas.openxmlformats.org/officeDocument/2006/relationships/hyperlink" Target="https://evtol.news/lilium-gmbh-lilium-jet-7-seater" TargetMode="External"/><Relationship Id="rId7" Type="http://schemas.openxmlformats.org/officeDocument/2006/relationships/hyperlink" Target="https://evtol.news/archer/" TargetMode="External"/><Relationship Id="rId8" Type="http://schemas.openxmlformats.org/officeDocument/2006/relationships/hyperlink" Target="https://evtol.news/atea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evtol.news/volocopter-voloconnec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opa.org/news-and-media/all-news/2023/april/pilot/joby-s4-coming-to-you-in-2025" TargetMode="External"/><Relationship Id="rId2" Type="http://schemas.openxmlformats.org/officeDocument/2006/relationships/hyperlink" Target="https://investors.archer.com/news/news-details/2023/After-Archer-Recently-Received-FAA-Certificate-Necessary-To-Begin-Flying-Midnight-It-Continues-Hitting-Key-Certification-Milestones-On-Schedule-As-FAA-Starts-To-Approve-Midnights-Certification-Plans/default.aspx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5.88"/>
    <col customWidth="1" min="3" max="3" width="11.0"/>
    <col customWidth="1" min="4" max="4" width="15.63"/>
    <col customWidth="1" min="5" max="5" width="16.0"/>
    <col customWidth="1" min="6" max="8" width="16.75"/>
    <col customWidth="1" min="14" max="14" width="13.38"/>
    <col customWidth="1" min="18" max="1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idden="1">
      <c r="A2" s="3" t="s">
        <v>18</v>
      </c>
      <c r="B2" s="4" t="s">
        <v>19</v>
      </c>
      <c r="C2" s="4">
        <v>2017.0</v>
      </c>
      <c r="D2" s="5" t="s">
        <v>20</v>
      </c>
      <c r="E2" s="4" t="s">
        <v>21</v>
      </c>
      <c r="F2" s="3">
        <v>8.0</v>
      </c>
      <c r="G2" s="3" t="s">
        <v>22</v>
      </c>
      <c r="H2" s="4">
        <v>0.0</v>
      </c>
      <c r="I2" s="4" t="s">
        <v>23</v>
      </c>
      <c r="J2" s="6"/>
      <c r="K2" s="4">
        <v>0.5</v>
      </c>
      <c r="L2" s="4">
        <v>48.0</v>
      </c>
      <c r="M2" s="6"/>
      <c r="N2" s="6"/>
      <c r="O2" s="6"/>
      <c r="P2" s="4" t="s">
        <v>24</v>
      </c>
      <c r="Q2" s="6"/>
      <c r="R2" s="6"/>
    </row>
    <row r="3">
      <c r="A3" s="3" t="s">
        <v>25</v>
      </c>
      <c r="B3" s="7" t="s">
        <v>26</v>
      </c>
      <c r="C3" s="6"/>
      <c r="D3" s="8" t="s">
        <v>27</v>
      </c>
      <c r="E3" s="4" t="s">
        <v>28</v>
      </c>
      <c r="F3" s="9">
        <v>7.0</v>
      </c>
      <c r="G3" s="3" t="s">
        <v>29</v>
      </c>
      <c r="H3" s="4">
        <v>1.0</v>
      </c>
      <c r="I3" s="4" t="s">
        <v>24</v>
      </c>
      <c r="J3" s="4">
        <v>1040.0</v>
      </c>
      <c r="K3" s="4">
        <v>2.0</v>
      </c>
      <c r="L3" s="4">
        <v>800.0</v>
      </c>
      <c r="M3" s="6"/>
      <c r="N3" s="4">
        <v>7.0</v>
      </c>
      <c r="O3" s="6"/>
      <c r="P3" s="6"/>
      <c r="Q3" s="6"/>
      <c r="R3" s="4">
        <v>460.0</v>
      </c>
    </row>
    <row r="4" hidden="1">
      <c r="A4" s="3" t="s">
        <v>30</v>
      </c>
      <c r="B4" s="4" t="s">
        <v>31</v>
      </c>
      <c r="C4" s="4">
        <v>2019.0</v>
      </c>
      <c r="D4" s="5" t="s">
        <v>32</v>
      </c>
      <c r="E4" s="4" t="s">
        <v>33</v>
      </c>
      <c r="F4" s="3">
        <v>8.0</v>
      </c>
      <c r="G4" s="3" t="s">
        <v>22</v>
      </c>
      <c r="H4" s="4">
        <v>1.0</v>
      </c>
      <c r="I4" s="4" t="s">
        <v>24</v>
      </c>
      <c r="J4" s="4">
        <v>816.0</v>
      </c>
      <c r="K4" s="6"/>
      <c r="L4" s="4">
        <v>50.0</v>
      </c>
      <c r="M4" s="4">
        <v>45.0</v>
      </c>
      <c r="N4" s="4">
        <v>8.0</v>
      </c>
      <c r="O4" s="6"/>
      <c r="P4" s="4" t="s">
        <v>24</v>
      </c>
      <c r="Q4" s="6"/>
      <c r="R4" s="4">
        <v>200.0</v>
      </c>
    </row>
    <row r="5" hidden="1">
      <c r="A5" s="3" t="s">
        <v>34</v>
      </c>
      <c r="B5" s="4" t="s">
        <v>35</v>
      </c>
      <c r="C5" s="4">
        <v>2022.0</v>
      </c>
      <c r="D5" s="5" t="s">
        <v>36</v>
      </c>
      <c r="E5" s="4" t="s">
        <v>21</v>
      </c>
      <c r="F5" s="9">
        <v>13.0</v>
      </c>
      <c r="G5" s="3" t="s">
        <v>22</v>
      </c>
      <c r="H5" s="4">
        <v>1.0</v>
      </c>
      <c r="I5" s="4" t="s">
        <v>24</v>
      </c>
      <c r="J5" s="6"/>
      <c r="K5" s="4">
        <v>0.33</v>
      </c>
      <c r="L5" s="4">
        <v>32.0</v>
      </c>
      <c r="M5" s="6"/>
      <c r="N5" s="4">
        <v>13.0</v>
      </c>
      <c r="O5" s="6"/>
      <c r="P5" s="4" t="s">
        <v>24</v>
      </c>
      <c r="Q5" s="6"/>
      <c r="R5" s="6"/>
    </row>
    <row r="6" hidden="1">
      <c r="A6" s="3" t="s">
        <v>37</v>
      </c>
      <c r="B6" s="4" t="s">
        <v>38</v>
      </c>
      <c r="C6" s="4">
        <v>2023.0</v>
      </c>
      <c r="D6" s="5" t="s">
        <v>39</v>
      </c>
      <c r="E6" s="4" t="s">
        <v>21</v>
      </c>
      <c r="F6" s="9">
        <v>8.0</v>
      </c>
      <c r="G6" s="3" t="s">
        <v>40</v>
      </c>
      <c r="H6" s="4">
        <v>1.0</v>
      </c>
      <c r="I6" s="4" t="s">
        <v>23</v>
      </c>
      <c r="J6" s="4">
        <v>400.0</v>
      </c>
      <c r="K6" s="4">
        <v>0.35</v>
      </c>
      <c r="L6" s="4">
        <v>25.0</v>
      </c>
      <c r="M6" s="6"/>
      <c r="N6" s="4">
        <v>8.0</v>
      </c>
      <c r="O6" s="6"/>
      <c r="P6" s="4" t="s">
        <v>23</v>
      </c>
      <c r="Q6" s="6"/>
      <c r="R6" s="4">
        <v>100.0</v>
      </c>
    </row>
    <row r="7" hidden="1">
      <c r="A7" s="3" t="s">
        <v>41</v>
      </c>
      <c r="B7" s="4" t="s">
        <v>42</v>
      </c>
      <c r="C7" s="4">
        <v>2021.0</v>
      </c>
      <c r="D7" s="5" t="s">
        <v>43</v>
      </c>
      <c r="E7" s="4" t="s">
        <v>21</v>
      </c>
      <c r="F7" s="9">
        <v>8.0</v>
      </c>
      <c r="G7" s="3" t="s">
        <v>44</v>
      </c>
      <c r="H7" s="4">
        <v>1.0</v>
      </c>
      <c r="I7" s="4" t="s">
        <v>24</v>
      </c>
      <c r="J7" s="4">
        <v>500.0</v>
      </c>
      <c r="K7" s="4">
        <v>1.2</v>
      </c>
      <c r="L7" s="4">
        <v>150.0</v>
      </c>
      <c r="M7" s="6"/>
      <c r="N7" s="4">
        <v>8.0</v>
      </c>
      <c r="O7" s="6"/>
      <c r="P7" s="4" t="s">
        <v>23</v>
      </c>
      <c r="Q7" s="6"/>
      <c r="R7" s="4">
        <v>120.0</v>
      </c>
    </row>
    <row r="8" hidden="1">
      <c r="A8" s="3" t="s">
        <v>45</v>
      </c>
      <c r="B8" s="4" t="s">
        <v>45</v>
      </c>
      <c r="C8" s="6"/>
      <c r="D8" s="5" t="s">
        <v>46</v>
      </c>
      <c r="E8" s="4" t="s">
        <v>21</v>
      </c>
      <c r="F8" s="9">
        <v>8.0</v>
      </c>
      <c r="G8" s="3" t="s">
        <v>47</v>
      </c>
      <c r="H8" s="4">
        <v>1.0</v>
      </c>
      <c r="I8" s="4" t="s">
        <v>23</v>
      </c>
      <c r="J8" s="4">
        <v>400.0</v>
      </c>
      <c r="K8" s="4">
        <v>0.33</v>
      </c>
      <c r="L8" s="4">
        <v>20.0</v>
      </c>
      <c r="M8" s="6"/>
      <c r="N8" s="4">
        <v>8.0</v>
      </c>
      <c r="O8" s="6"/>
      <c r="P8" s="4" t="s">
        <v>23</v>
      </c>
      <c r="Q8" s="6"/>
      <c r="R8" s="4">
        <v>70.0</v>
      </c>
    </row>
    <row r="9">
      <c r="A9" s="3" t="s">
        <v>48</v>
      </c>
      <c r="B9" s="4" t="s">
        <v>49</v>
      </c>
      <c r="C9" s="4">
        <v>2017.0</v>
      </c>
      <c r="D9" s="8" t="s">
        <v>50</v>
      </c>
      <c r="E9" s="4" t="s">
        <v>28</v>
      </c>
      <c r="F9" s="3">
        <v>8.0</v>
      </c>
      <c r="G9" s="3" t="s">
        <v>22</v>
      </c>
      <c r="H9" s="4">
        <v>2.0</v>
      </c>
      <c r="I9" s="4" t="s">
        <v>51</v>
      </c>
      <c r="J9" s="4">
        <v>800.0</v>
      </c>
      <c r="K9" s="4">
        <v>0.5</v>
      </c>
      <c r="L9" s="4">
        <v>80.0</v>
      </c>
      <c r="M9" s="4">
        <v>75.0</v>
      </c>
      <c r="N9" s="4">
        <v>8.0</v>
      </c>
      <c r="O9" s="6"/>
      <c r="P9" s="4" t="s">
        <v>24</v>
      </c>
      <c r="Q9" s="6"/>
      <c r="R9" s="4">
        <v>180.0</v>
      </c>
    </row>
    <row r="10">
      <c r="A10" s="3" t="s">
        <v>52</v>
      </c>
      <c r="B10" s="4" t="s">
        <v>53</v>
      </c>
      <c r="C10" s="4">
        <v>2016.0</v>
      </c>
      <c r="D10" s="8" t="s">
        <v>54</v>
      </c>
      <c r="E10" s="4" t="s">
        <v>28</v>
      </c>
      <c r="F10" s="9">
        <v>10.0</v>
      </c>
      <c r="G10" s="3" t="s">
        <v>22</v>
      </c>
      <c r="H10" s="4">
        <v>2.0</v>
      </c>
      <c r="I10" s="4" t="s">
        <v>51</v>
      </c>
      <c r="J10" s="6"/>
      <c r="K10" s="4">
        <v>0.667</v>
      </c>
      <c r="L10" s="6"/>
      <c r="M10" s="6"/>
      <c r="N10" s="4">
        <v>10.0</v>
      </c>
      <c r="O10" s="6"/>
      <c r="P10" s="6"/>
      <c r="Q10" s="6"/>
      <c r="R10" s="4">
        <v>161.0</v>
      </c>
    </row>
    <row r="11">
      <c r="A11" s="3" t="s">
        <v>55</v>
      </c>
      <c r="B11" s="4" t="s">
        <v>56</v>
      </c>
      <c r="C11" s="4">
        <v>2021.0</v>
      </c>
      <c r="D11" s="8" t="s">
        <v>57</v>
      </c>
      <c r="E11" s="4" t="s">
        <v>28</v>
      </c>
      <c r="F11" s="9">
        <v>9.0</v>
      </c>
      <c r="G11" s="3" t="s">
        <v>22</v>
      </c>
      <c r="H11" s="4">
        <v>2.0</v>
      </c>
      <c r="I11" s="4" t="s">
        <v>51</v>
      </c>
      <c r="J11" s="10">
        <v>1000.0</v>
      </c>
      <c r="K11" s="4">
        <v>1.333</v>
      </c>
      <c r="L11" s="4">
        <v>300.0</v>
      </c>
      <c r="M11" s="6"/>
      <c r="N11" s="4">
        <v>9.0</v>
      </c>
      <c r="O11" s="6"/>
      <c r="P11" s="4" t="s">
        <v>24</v>
      </c>
      <c r="Q11" s="6"/>
      <c r="R11" s="11">
        <f>L11/K11</f>
        <v>225.0562641</v>
      </c>
    </row>
    <row r="12" hidden="1">
      <c r="A12" s="12" t="s">
        <v>58</v>
      </c>
      <c r="B12" s="13" t="s">
        <v>59</v>
      </c>
      <c r="C12" s="14">
        <v>2020.0</v>
      </c>
      <c r="D12" s="15" t="s">
        <v>60</v>
      </c>
      <c r="E12" s="14" t="s">
        <v>33</v>
      </c>
      <c r="F12" s="12">
        <v>12.0</v>
      </c>
      <c r="G12" s="12" t="s">
        <v>22</v>
      </c>
      <c r="H12" s="14">
        <v>2.0</v>
      </c>
      <c r="I12" s="14" t="s">
        <v>24</v>
      </c>
      <c r="J12" s="13">
        <v>3175.0</v>
      </c>
      <c r="K12" s="13">
        <v>0.62</v>
      </c>
      <c r="L12" s="13">
        <v>150.0</v>
      </c>
      <c r="M12" s="16"/>
      <c r="N12" s="14">
        <v>12.0</v>
      </c>
      <c r="O12" s="16"/>
      <c r="P12" s="14" t="s">
        <v>24</v>
      </c>
      <c r="Q12" s="16"/>
      <c r="R12" s="14">
        <v>241.0</v>
      </c>
    </row>
    <row r="13" hidden="1">
      <c r="A13" s="3" t="s">
        <v>30</v>
      </c>
      <c r="B13" s="4" t="s">
        <v>61</v>
      </c>
      <c r="C13" s="4">
        <v>2019.0</v>
      </c>
      <c r="D13" s="5" t="s">
        <v>62</v>
      </c>
      <c r="E13" s="4" t="s">
        <v>33</v>
      </c>
      <c r="F13" s="3">
        <v>8.0</v>
      </c>
      <c r="G13" s="3" t="s">
        <v>22</v>
      </c>
      <c r="H13" s="4">
        <v>2.0</v>
      </c>
      <c r="I13" s="4" t="s">
        <v>63</v>
      </c>
      <c r="J13" s="4">
        <v>726.0</v>
      </c>
      <c r="K13" s="6"/>
      <c r="L13" s="4">
        <v>100.0</v>
      </c>
      <c r="M13" s="4">
        <v>45.0</v>
      </c>
      <c r="N13" s="4">
        <v>8.0</v>
      </c>
      <c r="O13" s="6"/>
      <c r="P13" s="4" t="s">
        <v>24</v>
      </c>
      <c r="Q13" s="6"/>
      <c r="R13" s="4">
        <v>230.0</v>
      </c>
    </row>
    <row r="14" hidden="1">
      <c r="A14" s="3" t="s">
        <v>64</v>
      </c>
      <c r="B14" s="4" t="s">
        <v>65</v>
      </c>
      <c r="C14" s="4">
        <v>2017.0</v>
      </c>
      <c r="D14" s="5" t="s">
        <v>66</v>
      </c>
      <c r="E14" s="4" t="s">
        <v>33</v>
      </c>
      <c r="F14" s="3">
        <v>4.0</v>
      </c>
      <c r="G14" s="3" t="s">
        <v>22</v>
      </c>
      <c r="H14" s="4">
        <v>2.0</v>
      </c>
      <c r="I14" s="4" t="s">
        <v>67</v>
      </c>
      <c r="J14" s="4">
        <v>1000.0</v>
      </c>
      <c r="K14" s="4">
        <v>1.5</v>
      </c>
      <c r="L14" s="4">
        <v>300.0</v>
      </c>
      <c r="M14" s="4">
        <v>140.0</v>
      </c>
      <c r="N14" s="4">
        <v>4.0</v>
      </c>
      <c r="O14" s="6"/>
      <c r="P14" s="4" t="s">
        <v>23</v>
      </c>
      <c r="Q14" s="6"/>
      <c r="R14" s="4">
        <v>222.0</v>
      </c>
    </row>
    <row r="15" hidden="1">
      <c r="A15" s="3" t="s">
        <v>68</v>
      </c>
      <c r="B15" s="4" t="s">
        <v>69</v>
      </c>
      <c r="C15" s="4">
        <v>2021.0</v>
      </c>
      <c r="D15" s="5" t="s">
        <v>70</v>
      </c>
      <c r="E15" s="4" t="s">
        <v>21</v>
      </c>
      <c r="F15" s="3">
        <v>8.0</v>
      </c>
      <c r="G15" s="3" t="s">
        <v>22</v>
      </c>
      <c r="H15" s="4">
        <v>2.0</v>
      </c>
      <c r="I15" s="4" t="s">
        <v>23</v>
      </c>
      <c r="J15" s="4">
        <v>520.0</v>
      </c>
      <c r="K15" s="6"/>
      <c r="L15" s="4">
        <v>65.0</v>
      </c>
      <c r="M15" s="4">
        <v>400.0</v>
      </c>
      <c r="N15" s="4">
        <v>8.0</v>
      </c>
      <c r="O15" s="6"/>
      <c r="P15" s="4" t="s">
        <v>24</v>
      </c>
      <c r="Q15" s="4">
        <v>240.0</v>
      </c>
      <c r="R15" s="4">
        <v>120.0</v>
      </c>
    </row>
    <row r="16" hidden="1">
      <c r="A16" s="3" t="s">
        <v>71</v>
      </c>
      <c r="B16" s="4" t="s">
        <v>72</v>
      </c>
      <c r="C16" s="4">
        <v>2018.0</v>
      </c>
      <c r="D16" s="5" t="s">
        <v>73</v>
      </c>
      <c r="E16" s="4" t="s">
        <v>21</v>
      </c>
      <c r="F16" s="3">
        <v>16.0</v>
      </c>
      <c r="G16" s="3" t="s">
        <v>22</v>
      </c>
      <c r="H16" s="4">
        <v>2.0</v>
      </c>
      <c r="I16" s="4" t="s">
        <v>23</v>
      </c>
      <c r="J16" s="4">
        <v>360.0</v>
      </c>
      <c r="K16" s="4">
        <v>0.35</v>
      </c>
      <c r="L16" s="4">
        <v>35.0</v>
      </c>
      <c r="M16" s="6"/>
      <c r="N16" s="4">
        <v>16.0</v>
      </c>
      <c r="O16" s="6"/>
      <c r="P16" s="6"/>
      <c r="Q16" s="6"/>
      <c r="R16" s="4">
        <v>100.0</v>
      </c>
    </row>
    <row r="17" hidden="1">
      <c r="A17" s="3" t="s">
        <v>74</v>
      </c>
      <c r="B17" s="4" t="s">
        <v>75</v>
      </c>
      <c r="C17" s="6"/>
      <c r="D17" s="5" t="s">
        <v>76</v>
      </c>
      <c r="E17" s="4" t="s">
        <v>21</v>
      </c>
      <c r="F17" s="9">
        <v>8.0</v>
      </c>
      <c r="G17" s="3" t="s">
        <v>47</v>
      </c>
      <c r="H17" s="4">
        <v>2.0</v>
      </c>
      <c r="I17" s="4" t="s">
        <v>24</v>
      </c>
      <c r="J17" s="4">
        <v>1100.0</v>
      </c>
      <c r="K17" s="6"/>
      <c r="L17" s="6"/>
      <c r="M17" s="6"/>
      <c r="N17" s="4">
        <v>8.0</v>
      </c>
      <c r="O17" s="6"/>
      <c r="P17" s="4" t="s">
        <v>23</v>
      </c>
      <c r="Q17" s="6"/>
      <c r="R17" s="4">
        <v>85.0</v>
      </c>
    </row>
    <row r="18" hidden="1">
      <c r="A18" s="3" t="s">
        <v>77</v>
      </c>
      <c r="B18" s="4" t="s">
        <v>78</v>
      </c>
      <c r="C18" s="6"/>
      <c r="D18" s="5" t="s">
        <v>79</v>
      </c>
      <c r="E18" s="4" t="s">
        <v>21</v>
      </c>
      <c r="F18" s="9">
        <v>16.0</v>
      </c>
      <c r="G18" s="3" t="s">
        <v>47</v>
      </c>
      <c r="H18" s="4">
        <v>2.0</v>
      </c>
      <c r="I18" s="4" t="s">
        <v>23</v>
      </c>
      <c r="J18" s="4">
        <v>620.0</v>
      </c>
      <c r="K18" s="4">
        <v>21.0</v>
      </c>
      <c r="L18" s="4">
        <v>30.0</v>
      </c>
      <c r="M18" s="6"/>
      <c r="N18" s="4">
        <v>16.0</v>
      </c>
      <c r="O18" s="6"/>
      <c r="P18" s="4" t="s">
        <v>24</v>
      </c>
      <c r="Q18" s="6"/>
      <c r="R18" s="4">
        <v>130.0</v>
      </c>
    </row>
    <row r="19" hidden="1">
      <c r="A19" s="3" t="s">
        <v>80</v>
      </c>
      <c r="B19" s="4" t="s">
        <v>81</v>
      </c>
      <c r="C19" s="6"/>
      <c r="D19" s="5" t="s">
        <v>82</v>
      </c>
      <c r="E19" s="4" t="s">
        <v>21</v>
      </c>
      <c r="F19" s="9">
        <v>4.0</v>
      </c>
      <c r="G19" s="3" t="s">
        <v>83</v>
      </c>
      <c r="H19" s="4">
        <v>2.0</v>
      </c>
      <c r="I19" s="4" t="s">
        <v>24</v>
      </c>
      <c r="J19" s="6"/>
      <c r="K19" s="4">
        <v>0.8</v>
      </c>
      <c r="L19" s="4">
        <v>200.0</v>
      </c>
      <c r="M19" s="6"/>
      <c r="N19" s="6"/>
      <c r="O19" s="6"/>
      <c r="P19" s="6"/>
      <c r="Q19" s="6"/>
      <c r="R19" s="6"/>
    </row>
    <row r="20" hidden="1">
      <c r="A20" s="3" t="s">
        <v>84</v>
      </c>
      <c r="B20" s="4" t="s">
        <v>85</v>
      </c>
      <c r="C20" s="6"/>
      <c r="D20" s="5" t="s">
        <v>86</v>
      </c>
      <c r="E20" s="4" t="s">
        <v>21</v>
      </c>
      <c r="F20" s="9">
        <v>18.0</v>
      </c>
      <c r="G20" s="3" t="s">
        <v>47</v>
      </c>
      <c r="H20" s="4">
        <v>2.0</v>
      </c>
      <c r="I20" s="4" t="s">
        <v>23</v>
      </c>
      <c r="J20" s="4">
        <v>600.0</v>
      </c>
      <c r="K20" s="4">
        <v>0.5</v>
      </c>
      <c r="L20" s="4">
        <v>100.0</v>
      </c>
      <c r="M20" s="6"/>
      <c r="N20" s="6"/>
      <c r="O20" s="6"/>
      <c r="P20" s="4" t="s">
        <v>23</v>
      </c>
      <c r="Q20" s="6"/>
      <c r="R20" s="4">
        <v>200.0</v>
      </c>
    </row>
    <row r="21" hidden="1">
      <c r="A21" s="3" t="s">
        <v>87</v>
      </c>
      <c r="B21" s="4" t="s">
        <v>88</v>
      </c>
      <c r="C21" s="6"/>
      <c r="D21" s="5" t="s">
        <v>89</v>
      </c>
      <c r="E21" s="4" t="s">
        <v>21</v>
      </c>
      <c r="F21" s="9">
        <v>8.0</v>
      </c>
      <c r="G21" s="9" t="s">
        <v>83</v>
      </c>
      <c r="H21" s="4">
        <v>2.0</v>
      </c>
      <c r="I21" s="4" t="s">
        <v>24</v>
      </c>
      <c r="J21" s="4">
        <v>680.0</v>
      </c>
      <c r="K21" s="4">
        <v>1.0</v>
      </c>
      <c r="L21" s="4">
        <v>110.0</v>
      </c>
      <c r="M21" s="6"/>
      <c r="N21" s="4" t="s">
        <v>90</v>
      </c>
      <c r="O21" s="6"/>
      <c r="P21" s="4" t="s">
        <v>24</v>
      </c>
      <c r="Q21" s="3" t="s">
        <v>91</v>
      </c>
      <c r="R21" s="4">
        <v>100.0</v>
      </c>
    </row>
    <row r="22" hidden="1">
      <c r="A22" s="3" t="s">
        <v>92</v>
      </c>
      <c r="B22" s="4" t="s">
        <v>93</v>
      </c>
      <c r="C22" s="6"/>
      <c r="D22" s="8" t="s">
        <v>94</v>
      </c>
      <c r="E22" s="4" t="s">
        <v>21</v>
      </c>
      <c r="F22" s="9">
        <v>8.0</v>
      </c>
      <c r="G22" s="3" t="s">
        <v>47</v>
      </c>
      <c r="H22" s="4">
        <v>2.0</v>
      </c>
      <c r="I22" s="4" t="s">
        <v>23</v>
      </c>
      <c r="J22" s="6"/>
      <c r="K22" s="6"/>
      <c r="L22" s="6"/>
      <c r="M22" s="4">
        <v>20.0</v>
      </c>
      <c r="N22" s="4" t="s">
        <v>90</v>
      </c>
      <c r="O22" s="6"/>
      <c r="P22" s="4" t="s">
        <v>23</v>
      </c>
      <c r="Q22" s="4">
        <v>70.0</v>
      </c>
      <c r="R22" s="4">
        <v>120.0</v>
      </c>
    </row>
    <row r="23" hidden="1">
      <c r="A23" s="3" t="s">
        <v>75</v>
      </c>
      <c r="B23" s="4" t="s">
        <v>95</v>
      </c>
      <c r="C23" s="6"/>
      <c r="D23" s="5" t="s">
        <v>96</v>
      </c>
      <c r="E23" s="4" t="s">
        <v>21</v>
      </c>
      <c r="F23" s="9">
        <v>8.0</v>
      </c>
      <c r="G23" s="3" t="s">
        <v>47</v>
      </c>
      <c r="H23" s="4">
        <v>2.0</v>
      </c>
      <c r="I23" s="4" t="s">
        <v>23</v>
      </c>
      <c r="J23" s="4">
        <v>500.0</v>
      </c>
      <c r="K23" s="4">
        <v>0.2</v>
      </c>
      <c r="L23" s="4">
        <v>20.0</v>
      </c>
      <c r="M23" s="6"/>
      <c r="N23" s="4" t="s">
        <v>90</v>
      </c>
      <c r="O23" s="6"/>
      <c r="P23" s="4" t="s">
        <v>23</v>
      </c>
      <c r="Q23" s="6"/>
      <c r="R23" s="4">
        <v>100.0</v>
      </c>
    </row>
    <row r="24">
      <c r="A24" s="12" t="s">
        <v>97</v>
      </c>
      <c r="B24" s="17" t="s">
        <v>98</v>
      </c>
      <c r="C24" s="14">
        <v>2022.0</v>
      </c>
      <c r="D24" s="15" t="s">
        <v>99</v>
      </c>
      <c r="E24" s="14" t="s">
        <v>28</v>
      </c>
      <c r="F24" s="12">
        <v>8.0</v>
      </c>
      <c r="G24" s="12" t="s">
        <v>22</v>
      </c>
      <c r="H24" s="14">
        <v>3.0</v>
      </c>
      <c r="I24" s="14" t="s">
        <v>24</v>
      </c>
      <c r="J24" s="16"/>
      <c r="K24" s="16"/>
      <c r="L24" s="14">
        <v>80.0</v>
      </c>
      <c r="M24" s="16"/>
      <c r="N24" s="14">
        <v>16.0</v>
      </c>
      <c r="O24" s="16"/>
      <c r="P24" s="14" t="s">
        <v>100</v>
      </c>
      <c r="Q24" s="16"/>
      <c r="R24" s="14">
        <v>120.0</v>
      </c>
    </row>
    <row r="25">
      <c r="A25" s="12" t="s">
        <v>101</v>
      </c>
      <c r="B25" s="14" t="s">
        <v>102</v>
      </c>
      <c r="C25" s="14">
        <v>2018.0</v>
      </c>
      <c r="D25" s="15" t="s">
        <v>103</v>
      </c>
      <c r="E25" s="14" t="s">
        <v>28</v>
      </c>
      <c r="F25" s="18">
        <v>4.0</v>
      </c>
      <c r="G25" s="12" t="s">
        <v>29</v>
      </c>
      <c r="H25" s="14">
        <v>3.0</v>
      </c>
      <c r="I25" s="14" t="s">
        <v>24</v>
      </c>
      <c r="J25" s="14">
        <v>2000.0</v>
      </c>
      <c r="K25" s="14">
        <v>2.5</v>
      </c>
      <c r="L25" s="14">
        <v>450.0</v>
      </c>
      <c r="M25" s="16"/>
      <c r="N25" s="14">
        <v>4.0</v>
      </c>
      <c r="O25" s="16"/>
      <c r="P25" s="14" t="s">
        <v>100</v>
      </c>
      <c r="Q25" s="16"/>
      <c r="R25" s="14">
        <v>200.0</v>
      </c>
    </row>
    <row r="26" hidden="1">
      <c r="A26" s="3" t="s">
        <v>104</v>
      </c>
      <c r="B26" s="4" t="s">
        <v>105</v>
      </c>
      <c r="C26" s="4">
        <v>2019.0</v>
      </c>
      <c r="D26" s="5" t="s">
        <v>106</v>
      </c>
      <c r="E26" s="4" t="s">
        <v>33</v>
      </c>
      <c r="F26" s="3">
        <v>6.0</v>
      </c>
      <c r="G26" s="3" t="s">
        <v>22</v>
      </c>
      <c r="H26" s="4">
        <v>3.0</v>
      </c>
      <c r="I26" s="4" t="s">
        <v>24</v>
      </c>
      <c r="J26" s="6"/>
      <c r="K26" s="6"/>
      <c r="L26" s="4">
        <v>805.0</v>
      </c>
      <c r="M26" s="6"/>
      <c r="N26" s="4">
        <v>6.0</v>
      </c>
      <c r="O26" s="6"/>
      <c r="P26" s="4" t="s">
        <v>24</v>
      </c>
      <c r="Q26" s="6"/>
      <c r="R26" s="4">
        <v>402.0</v>
      </c>
    </row>
    <row r="27" hidden="1">
      <c r="A27" s="3" t="s">
        <v>107</v>
      </c>
      <c r="B27" s="4" t="s">
        <v>108</v>
      </c>
      <c r="C27" s="4">
        <v>2018.0</v>
      </c>
      <c r="D27" s="5" t="s">
        <v>109</v>
      </c>
      <c r="E27" s="4" t="s">
        <v>33</v>
      </c>
      <c r="F27" s="3">
        <v>8.0</v>
      </c>
      <c r="G27" s="3" t="s">
        <v>22</v>
      </c>
      <c r="H27" s="4">
        <v>3.0</v>
      </c>
      <c r="I27" s="4" t="s">
        <v>24</v>
      </c>
      <c r="J27" s="4">
        <v>970.0</v>
      </c>
      <c r="K27" s="6"/>
      <c r="L27" s="4">
        <v>177.0</v>
      </c>
      <c r="M27" s="6"/>
      <c r="N27" s="4">
        <v>8.0</v>
      </c>
      <c r="O27" s="6"/>
      <c r="P27" s="4" t="s">
        <v>24</v>
      </c>
      <c r="Q27" s="6"/>
      <c r="R27" s="4">
        <v>249.0</v>
      </c>
    </row>
    <row r="28" hidden="1">
      <c r="A28" s="3" t="s">
        <v>110</v>
      </c>
      <c r="B28" s="7" t="s">
        <v>111</v>
      </c>
      <c r="C28" s="6"/>
      <c r="D28" s="5" t="s">
        <v>112</v>
      </c>
      <c r="E28" s="4" t="s">
        <v>21</v>
      </c>
      <c r="F28" s="9">
        <v>8.0</v>
      </c>
      <c r="G28" s="3" t="s">
        <v>83</v>
      </c>
      <c r="H28" s="4">
        <v>3.0</v>
      </c>
      <c r="I28" s="4" t="s">
        <v>24</v>
      </c>
      <c r="J28" s="4">
        <v>950.0</v>
      </c>
      <c r="K28" s="4">
        <v>1.2</v>
      </c>
      <c r="L28" s="4">
        <v>161.0</v>
      </c>
      <c r="M28" s="6"/>
      <c r="N28" s="4" t="s">
        <v>90</v>
      </c>
      <c r="O28" s="6"/>
      <c r="P28" s="4" t="s">
        <v>23</v>
      </c>
      <c r="Q28" s="6"/>
      <c r="R28" s="4">
        <v>128.0</v>
      </c>
    </row>
    <row r="29" hidden="1">
      <c r="A29" s="19" t="s">
        <v>113</v>
      </c>
      <c r="B29" s="20" t="s">
        <v>114</v>
      </c>
      <c r="C29" s="6"/>
      <c r="D29" s="5" t="s">
        <v>115</v>
      </c>
      <c r="E29" s="4" t="s">
        <v>22</v>
      </c>
      <c r="F29" s="9">
        <v>2.0</v>
      </c>
      <c r="G29" s="3" t="s">
        <v>40</v>
      </c>
      <c r="H29" s="4">
        <v>3.0</v>
      </c>
      <c r="I29" s="4" t="s">
        <v>24</v>
      </c>
      <c r="J29" s="4">
        <v>590.0</v>
      </c>
      <c r="K29" s="4">
        <v>2.3</v>
      </c>
      <c r="L29" s="4">
        <v>400.0</v>
      </c>
      <c r="M29" s="4">
        <v>25.0</v>
      </c>
      <c r="N29" s="3" t="s">
        <v>116</v>
      </c>
      <c r="O29" s="6"/>
      <c r="P29" s="6"/>
      <c r="Q29" s="6"/>
      <c r="R29" s="4">
        <v>130.0</v>
      </c>
    </row>
    <row r="30" hidden="1">
      <c r="A30" s="3" t="s">
        <v>117</v>
      </c>
      <c r="B30" s="6"/>
      <c r="C30" s="6"/>
      <c r="D30" s="5" t="s">
        <v>118</v>
      </c>
      <c r="E30" s="4" t="s">
        <v>22</v>
      </c>
      <c r="F30" s="9">
        <v>3.0</v>
      </c>
      <c r="G30" s="9" t="s">
        <v>119</v>
      </c>
      <c r="H30" s="4">
        <v>3.0</v>
      </c>
      <c r="I30" s="4" t="s">
        <v>24</v>
      </c>
      <c r="J30" s="6"/>
      <c r="K30" s="4">
        <v>0.8</v>
      </c>
      <c r="L30" s="4">
        <v>110.0</v>
      </c>
      <c r="M30" s="6"/>
      <c r="N30" s="4" t="s">
        <v>120</v>
      </c>
      <c r="O30" s="6"/>
      <c r="P30" s="6"/>
      <c r="Q30" s="6"/>
      <c r="R30" s="6"/>
    </row>
    <row r="31">
      <c r="A31" s="3" t="s">
        <v>121</v>
      </c>
      <c r="B31" s="4" t="s">
        <v>122</v>
      </c>
      <c r="C31" s="4">
        <v>2022.0</v>
      </c>
      <c r="D31" s="8" t="s">
        <v>123</v>
      </c>
      <c r="E31" s="4" t="s">
        <v>28</v>
      </c>
      <c r="F31" s="9">
        <v>9.0</v>
      </c>
      <c r="G31" s="3" t="s">
        <v>22</v>
      </c>
      <c r="H31" s="4">
        <v>4.0</v>
      </c>
      <c r="I31" s="4" t="s">
        <v>24</v>
      </c>
      <c r="J31" s="6"/>
      <c r="K31" s="6"/>
      <c r="L31" s="4">
        <v>500.0</v>
      </c>
      <c r="M31" s="6"/>
      <c r="N31" s="4">
        <v>9.0</v>
      </c>
      <c r="O31" s="6"/>
      <c r="P31" s="4" t="s">
        <v>100</v>
      </c>
      <c r="Q31" s="6"/>
      <c r="R31" s="6"/>
    </row>
    <row r="32">
      <c r="A32" s="3" t="s">
        <v>101</v>
      </c>
      <c r="B32" s="4" t="s">
        <v>124</v>
      </c>
      <c r="C32" s="4">
        <v>2023.0</v>
      </c>
      <c r="D32" s="8" t="s">
        <v>125</v>
      </c>
      <c r="E32" s="4" t="s">
        <v>28</v>
      </c>
      <c r="F32" s="9">
        <v>10.0</v>
      </c>
      <c r="G32" s="9" t="s">
        <v>29</v>
      </c>
      <c r="H32" s="4">
        <v>4.0</v>
      </c>
      <c r="I32" s="4" t="s">
        <v>24</v>
      </c>
      <c r="J32" s="4">
        <v>2000.0</v>
      </c>
      <c r="K32" s="4">
        <v>2.0</v>
      </c>
      <c r="L32" s="4">
        <v>400.0</v>
      </c>
      <c r="M32" s="6"/>
      <c r="N32" s="4">
        <v>10.0</v>
      </c>
      <c r="O32" s="6"/>
      <c r="P32" s="4" t="s">
        <v>100</v>
      </c>
      <c r="Q32" s="6"/>
      <c r="R32" s="4">
        <v>200.0</v>
      </c>
    </row>
    <row r="33">
      <c r="A33" s="12" t="s">
        <v>126</v>
      </c>
      <c r="B33" s="14" t="s">
        <v>127</v>
      </c>
      <c r="C33" s="14">
        <v>2021.0</v>
      </c>
      <c r="D33" s="15" t="s">
        <v>128</v>
      </c>
      <c r="E33" s="14" t="s">
        <v>28</v>
      </c>
      <c r="F33" s="12">
        <v>13.0</v>
      </c>
      <c r="G33" s="12" t="s">
        <v>22</v>
      </c>
      <c r="H33" s="14">
        <v>4.0</v>
      </c>
      <c r="I33" s="14" t="s">
        <v>23</v>
      </c>
      <c r="J33" s="14">
        <v>1500.0</v>
      </c>
      <c r="K33" s="14">
        <v>1.5</v>
      </c>
      <c r="L33" s="14">
        <v>250.0</v>
      </c>
      <c r="M33" s="16"/>
      <c r="N33" s="14">
        <v>13.0</v>
      </c>
      <c r="O33" s="16"/>
      <c r="P33" s="16"/>
      <c r="Q33" s="14">
        <v>160.0</v>
      </c>
      <c r="R33" s="14">
        <v>200.0</v>
      </c>
    </row>
    <row r="34">
      <c r="A34" s="12" t="s">
        <v>129</v>
      </c>
      <c r="B34" s="14" t="s">
        <v>130</v>
      </c>
      <c r="C34" s="14">
        <v>2020.0</v>
      </c>
      <c r="D34" s="15" t="s">
        <v>131</v>
      </c>
      <c r="E34" s="14" t="s">
        <v>28</v>
      </c>
      <c r="F34" s="18">
        <v>5.0</v>
      </c>
      <c r="G34" s="12" t="s">
        <v>22</v>
      </c>
      <c r="H34" s="14">
        <v>4.0</v>
      </c>
      <c r="I34" s="14" t="s">
        <v>24</v>
      </c>
      <c r="J34" s="14">
        <v>3175.0</v>
      </c>
      <c r="K34" s="16"/>
      <c r="L34" s="14">
        <v>500.0</v>
      </c>
      <c r="M34" s="16"/>
      <c r="N34" s="14">
        <v>5.0</v>
      </c>
      <c r="O34" s="16"/>
      <c r="P34" s="14" t="s">
        <v>24</v>
      </c>
      <c r="Q34" s="16"/>
      <c r="R34" s="16"/>
    </row>
    <row r="35">
      <c r="A35" s="12" t="s">
        <v>132</v>
      </c>
      <c r="B35" s="14" t="s">
        <v>133</v>
      </c>
      <c r="C35" s="14">
        <v>2022.0</v>
      </c>
      <c r="D35" s="15" t="s">
        <v>134</v>
      </c>
      <c r="E35" s="14" t="s">
        <v>28</v>
      </c>
      <c r="F35" s="18">
        <v>6.0</v>
      </c>
      <c r="G35" s="12" t="s">
        <v>22</v>
      </c>
      <c r="H35" s="14">
        <v>4.0</v>
      </c>
      <c r="I35" s="14" t="s">
        <v>51</v>
      </c>
      <c r="J35" s="14">
        <v>3000.0</v>
      </c>
      <c r="K35" s="14">
        <v>0.5</v>
      </c>
      <c r="L35" s="14">
        <v>135.0</v>
      </c>
      <c r="M35" s="16"/>
      <c r="N35" s="14">
        <v>6.0</v>
      </c>
      <c r="O35" s="16"/>
      <c r="P35" s="16"/>
      <c r="Q35" s="16"/>
      <c r="R35" s="14">
        <v>240.0</v>
      </c>
    </row>
    <row r="36">
      <c r="A36" s="12" t="s">
        <v>135</v>
      </c>
      <c r="B36" s="14" t="s">
        <v>136</v>
      </c>
      <c r="C36" s="14">
        <v>2020.0</v>
      </c>
      <c r="D36" s="21" t="s">
        <v>137</v>
      </c>
      <c r="E36" s="14" t="s">
        <v>28</v>
      </c>
      <c r="F36" s="18">
        <v>10.0</v>
      </c>
      <c r="G36" s="12" t="s">
        <v>22</v>
      </c>
      <c r="H36" s="14">
        <v>4.0</v>
      </c>
      <c r="I36" s="14" t="s">
        <v>51</v>
      </c>
      <c r="J36" s="16"/>
      <c r="K36" s="16"/>
      <c r="L36" s="14">
        <v>100.0</v>
      </c>
      <c r="M36" s="16"/>
      <c r="N36" s="14">
        <v>10.0</v>
      </c>
      <c r="O36" s="16"/>
      <c r="P36" s="14" t="s">
        <v>23</v>
      </c>
      <c r="Q36" s="16"/>
      <c r="R36" s="16"/>
    </row>
    <row r="37">
      <c r="A37" s="4" t="s">
        <v>138</v>
      </c>
      <c r="B37" s="3" t="s">
        <v>139</v>
      </c>
      <c r="C37" s="4">
        <v>2022.0</v>
      </c>
      <c r="D37" s="8" t="s">
        <v>140</v>
      </c>
      <c r="E37" s="4" t="s">
        <v>28</v>
      </c>
      <c r="F37" s="3">
        <v>10.0</v>
      </c>
      <c r="G37" s="3" t="s">
        <v>22</v>
      </c>
      <c r="H37" s="4">
        <v>4.0</v>
      </c>
      <c r="I37" s="4" t="s">
        <v>24</v>
      </c>
      <c r="J37" s="6"/>
      <c r="K37" s="6">
        <f>49/60</f>
        <v>0.8166666667</v>
      </c>
      <c r="L37" s="4">
        <v>252.0</v>
      </c>
      <c r="M37" s="6"/>
      <c r="N37" s="4">
        <v>10.0</v>
      </c>
      <c r="O37" s="6"/>
      <c r="P37" s="4" t="s">
        <v>23</v>
      </c>
      <c r="Q37" s="6"/>
      <c r="R37" s="4">
        <v>194.0</v>
      </c>
    </row>
    <row r="38">
      <c r="A38" s="12" t="s">
        <v>141</v>
      </c>
      <c r="B38" s="14">
        <v>801.0</v>
      </c>
      <c r="C38" s="14">
        <v>2019.0</v>
      </c>
      <c r="D38" s="15" t="s">
        <v>142</v>
      </c>
      <c r="E38" s="14" t="s">
        <v>28</v>
      </c>
      <c r="F38" s="18">
        <v>9.0</v>
      </c>
      <c r="G38" s="12" t="s">
        <v>22</v>
      </c>
      <c r="H38" s="14">
        <v>4.0</v>
      </c>
      <c r="I38" s="14" t="s">
        <v>24</v>
      </c>
      <c r="J38" s="16"/>
      <c r="K38" s="14">
        <v>0.5</v>
      </c>
      <c r="L38" s="14">
        <v>97.0</v>
      </c>
      <c r="M38" s="16"/>
      <c r="N38" s="14">
        <v>9.0</v>
      </c>
      <c r="O38" s="16"/>
      <c r="P38" s="14" t="s">
        <v>23</v>
      </c>
      <c r="Q38" s="16"/>
      <c r="R38" s="14">
        <v>282.0</v>
      </c>
    </row>
    <row r="39">
      <c r="A39" s="3" t="s">
        <v>143</v>
      </c>
      <c r="B39" s="4" t="s">
        <v>144</v>
      </c>
      <c r="C39" s="4">
        <v>2022.0</v>
      </c>
      <c r="D39" s="22" t="s">
        <v>145</v>
      </c>
      <c r="E39" s="4" t="s">
        <v>28</v>
      </c>
      <c r="F39" s="9">
        <v>18.0</v>
      </c>
      <c r="G39" s="3" t="s">
        <v>22</v>
      </c>
      <c r="H39" s="4">
        <v>4.0</v>
      </c>
      <c r="I39" s="4" t="s">
        <v>24</v>
      </c>
      <c r="J39" s="4">
        <v>1997.0</v>
      </c>
      <c r="K39" s="6"/>
      <c r="L39" s="6"/>
      <c r="M39" s="6"/>
      <c r="N39" s="4">
        <v>36.0</v>
      </c>
      <c r="O39" s="6"/>
      <c r="P39" s="4" t="s">
        <v>23</v>
      </c>
      <c r="Q39" s="6"/>
      <c r="R39" s="4">
        <v>173.0</v>
      </c>
    </row>
    <row r="40">
      <c r="A40" s="3" t="s">
        <v>146</v>
      </c>
      <c r="B40" s="4" t="s">
        <v>147</v>
      </c>
      <c r="C40" s="4">
        <v>2018.0</v>
      </c>
      <c r="D40" s="8" t="s">
        <v>148</v>
      </c>
      <c r="E40" s="4" t="s">
        <v>28</v>
      </c>
      <c r="F40" s="9">
        <v>9.0</v>
      </c>
      <c r="G40" s="9" t="s">
        <v>149</v>
      </c>
      <c r="H40" s="4">
        <v>4.0</v>
      </c>
      <c r="I40" s="4" t="s">
        <v>51</v>
      </c>
      <c r="J40" s="4">
        <v>1600.0</v>
      </c>
      <c r="K40" s="23"/>
      <c r="L40" s="4">
        <v>150.0</v>
      </c>
      <c r="M40" s="6"/>
      <c r="N40" s="4">
        <v>9.0</v>
      </c>
      <c r="O40" s="6"/>
      <c r="P40" s="4" t="s">
        <v>23</v>
      </c>
      <c r="Q40" s="6"/>
      <c r="R40" s="4">
        <v>160.0</v>
      </c>
    </row>
    <row r="41">
      <c r="A41" s="3" t="s">
        <v>150</v>
      </c>
      <c r="B41" s="4" t="s">
        <v>151</v>
      </c>
      <c r="C41" s="4">
        <v>2019.0</v>
      </c>
      <c r="D41" s="8" t="s">
        <v>152</v>
      </c>
      <c r="E41" s="4" t="s">
        <v>28</v>
      </c>
      <c r="F41" s="3"/>
      <c r="G41" s="9" t="s">
        <v>149</v>
      </c>
      <c r="H41" s="4">
        <v>4.0</v>
      </c>
      <c r="I41" s="4" t="s">
        <v>24</v>
      </c>
      <c r="J41" s="4">
        <v>1930.0</v>
      </c>
      <c r="K41" s="6"/>
      <c r="L41" s="4">
        <v>150.0</v>
      </c>
      <c r="M41" s="6"/>
      <c r="N41" s="6"/>
      <c r="O41" s="6"/>
      <c r="P41" s="6"/>
      <c r="Q41" s="6"/>
      <c r="R41" s="4">
        <v>234.0</v>
      </c>
    </row>
    <row r="42">
      <c r="A42" s="24" t="s">
        <v>153</v>
      </c>
      <c r="B42" s="25" t="s">
        <v>154</v>
      </c>
      <c r="C42" s="25">
        <v>2022.0</v>
      </c>
      <c r="D42" s="26" t="s">
        <v>155</v>
      </c>
      <c r="E42" s="25" t="s">
        <v>28</v>
      </c>
      <c r="F42" s="27">
        <v>10.0</v>
      </c>
      <c r="G42" s="24" t="s">
        <v>22</v>
      </c>
      <c r="H42" s="24">
        <v>4.0</v>
      </c>
      <c r="I42" s="25" t="s">
        <v>24</v>
      </c>
      <c r="J42" s="25">
        <v>2500.0</v>
      </c>
      <c r="K42" s="28"/>
      <c r="L42" s="25">
        <v>200.0</v>
      </c>
      <c r="M42" s="28"/>
      <c r="N42" s="25">
        <v>10.0</v>
      </c>
      <c r="O42" s="28"/>
      <c r="P42" s="25" t="s">
        <v>23</v>
      </c>
      <c r="Q42" s="28"/>
      <c r="R42" s="25">
        <v>200.0</v>
      </c>
    </row>
    <row r="43">
      <c r="A43" s="12" t="s">
        <v>156</v>
      </c>
      <c r="B43" s="14" t="s">
        <v>157</v>
      </c>
      <c r="C43" s="14">
        <v>2021.0</v>
      </c>
      <c r="D43" s="15" t="s">
        <v>158</v>
      </c>
      <c r="E43" s="14" t="s">
        <v>28</v>
      </c>
      <c r="F43" s="18">
        <v>8.0</v>
      </c>
      <c r="G43" s="18" t="s">
        <v>22</v>
      </c>
      <c r="H43" s="12">
        <v>4.0</v>
      </c>
      <c r="I43" s="14" t="s">
        <v>23</v>
      </c>
      <c r="J43" s="16"/>
      <c r="K43" s="16"/>
      <c r="L43" s="14">
        <v>100.0</v>
      </c>
      <c r="M43" s="16"/>
      <c r="N43" s="14" t="s">
        <v>159</v>
      </c>
      <c r="O43" s="16"/>
      <c r="P43" s="14" t="s">
        <v>24</v>
      </c>
      <c r="Q43" s="16"/>
      <c r="R43" s="14">
        <v>180.0</v>
      </c>
    </row>
    <row r="44" hidden="1">
      <c r="A44" s="12" t="s">
        <v>160</v>
      </c>
      <c r="B44" s="14" t="s">
        <v>161</v>
      </c>
      <c r="C44" s="14">
        <v>2023.0</v>
      </c>
      <c r="D44" s="15" t="s">
        <v>162</v>
      </c>
      <c r="E44" s="14" t="s">
        <v>33</v>
      </c>
      <c r="F44" s="12">
        <v>6.0</v>
      </c>
      <c r="G44" s="12" t="s">
        <v>22</v>
      </c>
      <c r="H44" s="14">
        <v>4.0</v>
      </c>
      <c r="I44" s="14" t="s">
        <v>24</v>
      </c>
      <c r="J44" s="14">
        <v>2404.0</v>
      </c>
      <c r="K44" s="16"/>
      <c r="L44" s="14">
        <v>241.0</v>
      </c>
      <c r="M44" s="14">
        <v>236.0</v>
      </c>
      <c r="N44" s="14">
        <v>6.0</v>
      </c>
      <c r="O44" s="16"/>
      <c r="P44" s="14" t="s">
        <v>24</v>
      </c>
      <c r="Q44" s="16"/>
      <c r="R44" s="14">
        <v>322.0</v>
      </c>
    </row>
    <row r="45" hidden="1">
      <c r="A45" s="3" t="s">
        <v>163</v>
      </c>
      <c r="B45" s="4" t="s">
        <v>164</v>
      </c>
      <c r="C45" s="4">
        <v>2020.0</v>
      </c>
      <c r="D45" s="5" t="s">
        <v>165</v>
      </c>
      <c r="E45" s="4" t="s">
        <v>33</v>
      </c>
      <c r="F45" s="3">
        <v>10.0</v>
      </c>
      <c r="G45" s="3" t="s">
        <v>22</v>
      </c>
      <c r="H45" s="4">
        <v>4.0</v>
      </c>
      <c r="I45" s="6"/>
      <c r="J45" s="4">
        <v>2562.0</v>
      </c>
      <c r="K45" s="6"/>
      <c r="L45" s="4">
        <v>512.0</v>
      </c>
      <c r="M45" s="6"/>
      <c r="N45" s="4">
        <v>10.0</v>
      </c>
      <c r="O45" s="6"/>
      <c r="P45" s="4" t="s">
        <v>23</v>
      </c>
      <c r="Q45" s="6"/>
      <c r="R45" s="4">
        <v>186.0</v>
      </c>
    </row>
    <row r="46" hidden="1">
      <c r="A46" s="12" t="s">
        <v>97</v>
      </c>
      <c r="B46" s="14" t="s">
        <v>166</v>
      </c>
      <c r="C46" s="14">
        <v>2021.0</v>
      </c>
      <c r="D46" s="21" t="s">
        <v>167</v>
      </c>
      <c r="E46" s="14" t="s">
        <v>21</v>
      </c>
      <c r="F46" s="12">
        <v>8.0</v>
      </c>
      <c r="G46" s="12" t="s">
        <v>22</v>
      </c>
      <c r="H46" s="14">
        <v>4.0</v>
      </c>
      <c r="I46" s="14" t="s">
        <v>23</v>
      </c>
      <c r="J46" s="14">
        <v>2312.0</v>
      </c>
      <c r="K46" s="14">
        <v>0.25</v>
      </c>
      <c r="L46" s="14">
        <v>80.0</v>
      </c>
      <c r="M46" s="14">
        <v>100.0</v>
      </c>
      <c r="N46" s="14">
        <v>8.0</v>
      </c>
      <c r="O46" s="16"/>
      <c r="P46" s="14" t="s">
        <v>24</v>
      </c>
      <c r="Q46" s="14">
        <v>110.0</v>
      </c>
      <c r="R46" s="14">
        <v>120.0</v>
      </c>
    </row>
    <row r="47" hidden="1">
      <c r="A47" s="12" t="s">
        <v>168</v>
      </c>
      <c r="B47" s="14" t="s">
        <v>169</v>
      </c>
      <c r="C47" s="14">
        <v>2023.0</v>
      </c>
      <c r="D47" s="15" t="s">
        <v>170</v>
      </c>
      <c r="E47" s="14" t="s">
        <v>33</v>
      </c>
      <c r="F47" s="12">
        <v>12.0</v>
      </c>
      <c r="G47" s="12" t="s">
        <v>22</v>
      </c>
      <c r="H47" s="14">
        <v>4.0</v>
      </c>
      <c r="I47" s="14" t="s">
        <v>23</v>
      </c>
      <c r="J47" s="16"/>
      <c r="K47" s="16"/>
      <c r="L47" s="14">
        <v>144.0</v>
      </c>
      <c r="M47" s="16"/>
      <c r="N47" s="14">
        <v>12.0</v>
      </c>
      <c r="O47" s="12" t="s">
        <v>171</v>
      </c>
      <c r="P47" s="14" t="s">
        <v>23</v>
      </c>
      <c r="Q47" s="16"/>
      <c r="R47" s="14">
        <v>210.0</v>
      </c>
    </row>
    <row r="48" hidden="1">
      <c r="A48" s="3" t="s">
        <v>160</v>
      </c>
      <c r="B48" s="4" t="s">
        <v>161</v>
      </c>
      <c r="C48" s="4">
        <v>2023.0</v>
      </c>
      <c r="D48" s="5" t="s">
        <v>162</v>
      </c>
      <c r="E48" s="4" t="s">
        <v>33</v>
      </c>
      <c r="F48" s="9">
        <v>6.0</v>
      </c>
      <c r="G48" s="3" t="s">
        <v>22</v>
      </c>
      <c r="H48" s="4">
        <v>4.0</v>
      </c>
      <c r="I48" s="4" t="s">
        <v>24</v>
      </c>
      <c r="J48" s="4">
        <v>2404.0</v>
      </c>
      <c r="K48" s="4">
        <v>0.5</v>
      </c>
      <c r="L48" s="4">
        <v>161.0</v>
      </c>
      <c r="M48" s="4">
        <v>236.0</v>
      </c>
      <c r="N48" s="4">
        <v>6.0</v>
      </c>
      <c r="O48" s="6"/>
      <c r="P48" s="4" t="s">
        <v>24</v>
      </c>
      <c r="Q48" s="4">
        <v>235.0</v>
      </c>
      <c r="R48" s="4">
        <v>322.0</v>
      </c>
    </row>
    <row r="49">
      <c r="A49" s="3" t="s">
        <v>172</v>
      </c>
      <c r="B49" s="4" t="s">
        <v>173</v>
      </c>
      <c r="C49" s="4">
        <v>2023.0</v>
      </c>
      <c r="D49" s="8" t="s">
        <v>174</v>
      </c>
      <c r="E49" s="4" t="s">
        <v>28</v>
      </c>
      <c r="F49" s="9">
        <v>20.0</v>
      </c>
      <c r="G49" s="3" t="s">
        <v>22</v>
      </c>
      <c r="H49" s="4">
        <v>5.0</v>
      </c>
      <c r="I49" s="4" t="s">
        <v>51</v>
      </c>
      <c r="J49" s="4">
        <v>2000.0</v>
      </c>
      <c r="K49" s="6"/>
      <c r="L49" s="4">
        <v>250.0</v>
      </c>
      <c r="M49" s="6"/>
      <c r="N49" s="4">
        <v>20.0</v>
      </c>
      <c r="O49" s="6"/>
      <c r="P49" s="4" t="s">
        <v>23</v>
      </c>
      <c r="Q49" s="6"/>
      <c r="R49" s="4">
        <v>200.0</v>
      </c>
    </row>
    <row r="50">
      <c r="A50" s="3" t="s">
        <v>175</v>
      </c>
      <c r="B50" s="4" t="s">
        <v>176</v>
      </c>
      <c r="C50" s="4">
        <v>2022.0</v>
      </c>
      <c r="D50" s="5" t="s">
        <v>177</v>
      </c>
      <c r="E50" s="4" t="s">
        <v>28</v>
      </c>
      <c r="F50" s="9">
        <v>9.0</v>
      </c>
      <c r="G50" s="3" t="s">
        <v>22</v>
      </c>
      <c r="H50" s="3">
        <v>5.0</v>
      </c>
      <c r="I50" s="4" t="s">
        <v>51</v>
      </c>
      <c r="J50" s="4">
        <v>1000.0</v>
      </c>
      <c r="K50" s="4">
        <f>45/60</f>
        <v>0.75</v>
      </c>
      <c r="L50" s="4">
        <v>150.0</v>
      </c>
      <c r="M50" s="6"/>
      <c r="N50" s="4">
        <v>9.0</v>
      </c>
      <c r="O50" s="6"/>
      <c r="P50" s="4" t="s">
        <v>23</v>
      </c>
      <c r="Q50" s="6"/>
      <c r="R50" s="4">
        <v>200.0</v>
      </c>
    </row>
    <row r="51" hidden="1">
      <c r="A51" s="3" t="s">
        <v>178</v>
      </c>
      <c r="B51" s="4" t="s">
        <v>179</v>
      </c>
      <c r="C51" s="4">
        <v>2018.0</v>
      </c>
      <c r="D51" s="8" t="s">
        <v>180</v>
      </c>
      <c r="E51" s="4" t="s">
        <v>33</v>
      </c>
      <c r="F51" s="3">
        <v>9.0</v>
      </c>
      <c r="G51" s="3" t="s">
        <v>181</v>
      </c>
      <c r="H51" s="4">
        <v>5.0</v>
      </c>
      <c r="I51" s="4" t="s">
        <v>24</v>
      </c>
      <c r="J51" s="6"/>
      <c r="K51" s="6"/>
      <c r="L51" s="4">
        <v>418.0</v>
      </c>
      <c r="M51" s="6"/>
      <c r="N51" s="4">
        <v>9.0</v>
      </c>
      <c r="O51" s="4">
        <v>12.0</v>
      </c>
      <c r="P51" s="4" t="s">
        <v>24</v>
      </c>
      <c r="Q51" s="6"/>
      <c r="R51" s="4">
        <v>241.0</v>
      </c>
    </row>
    <row r="52" hidden="1">
      <c r="A52" s="3" t="s">
        <v>182</v>
      </c>
      <c r="B52" s="4" t="s">
        <v>183</v>
      </c>
      <c r="C52" s="6"/>
      <c r="D52" s="5" t="s">
        <v>184</v>
      </c>
      <c r="E52" s="4" t="s">
        <v>21</v>
      </c>
      <c r="F52" s="9">
        <v>4.0</v>
      </c>
      <c r="G52" s="9" t="s">
        <v>40</v>
      </c>
      <c r="H52" s="4">
        <v>5.0</v>
      </c>
      <c r="I52" s="4" t="s">
        <v>24</v>
      </c>
      <c r="J52" s="4">
        <v>952.0</v>
      </c>
      <c r="K52" s="4">
        <v>2.6</v>
      </c>
      <c r="L52" s="4">
        <v>724.0</v>
      </c>
      <c r="M52" s="6"/>
      <c r="N52" s="4">
        <v>4.0</v>
      </c>
      <c r="O52" s="6"/>
      <c r="P52" s="4" t="s">
        <v>23</v>
      </c>
      <c r="Q52" s="6"/>
      <c r="R52" s="4">
        <v>277.0</v>
      </c>
    </row>
    <row r="53" hidden="1">
      <c r="A53" s="12" t="s">
        <v>185</v>
      </c>
      <c r="B53" s="14" t="s">
        <v>186</v>
      </c>
      <c r="C53" s="16"/>
      <c r="D53" s="21" t="s">
        <v>187</v>
      </c>
      <c r="E53" s="14" t="s">
        <v>33</v>
      </c>
      <c r="F53" s="12" t="s">
        <v>188</v>
      </c>
      <c r="G53" s="12" t="s">
        <v>47</v>
      </c>
      <c r="H53" s="14">
        <v>5.0</v>
      </c>
      <c r="I53" s="14" t="s">
        <v>23</v>
      </c>
      <c r="J53" s="16"/>
      <c r="K53" s="14">
        <v>0.66</v>
      </c>
      <c r="L53" s="14">
        <v>161.0</v>
      </c>
      <c r="M53" s="16"/>
      <c r="N53" s="13">
        <v>8.0</v>
      </c>
      <c r="O53" s="16"/>
      <c r="P53" s="14" t="s">
        <v>23</v>
      </c>
      <c r="Q53" s="16"/>
      <c r="R53" s="14">
        <v>241.0</v>
      </c>
    </row>
    <row r="54">
      <c r="A54" s="3" t="s">
        <v>189</v>
      </c>
      <c r="B54" s="4" t="s">
        <v>190</v>
      </c>
      <c r="C54" s="4">
        <v>2023.0</v>
      </c>
      <c r="D54" s="8" t="s">
        <v>191</v>
      </c>
      <c r="E54" s="4" t="s">
        <v>28</v>
      </c>
      <c r="F54" s="9">
        <v>17.0</v>
      </c>
      <c r="G54" s="3" t="s">
        <v>40</v>
      </c>
      <c r="H54" s="4">
        <v>6.0</v>
      </c>
      <c r="I54" s="4" t="s">
        <v>24</v>
      </c>
      <c r="J54" s="4">
        <v>2495.0</v>
      </c>
      <c r="K54" s="4">
        <v>2.0</v>
      </c>
      <c r="L54" s="4">
        <v>805.0</v>
      </c>
      <c r="M54" s="6"/>
      <c r="N54" s="4">
        <v>17.0</v>
      </c>
      <c r="O54" s="6"/>
      <c r="P54" s="6"/>
      <c r="Q54" s="6"/>
      <c r="R54" s="4">
        <v>450.0</v>
      </c>
    </row>
    <row r="55" hidden="1">
      <c r="A55" s="14" t="s">
        <v>192</v>
      </c>
      <c r="B55" s="12" t="s">
        <v>193</v>
      </c>
      <c r="C55" s="14">
        <v>2019.0</v>
      </c>
      <c r="D55" s="15" t="s">
        <v>194</v>
      </c>
      <c r="E55" s="14" t="s">
        <v>33</v>
      </c>
      <c r="F55" s="12">
        <v>5.0</v>
      </c>
      <c r="G55" s="12" t="s">
        <v>22</v>
      </c>
      <c r="H55" s="14">
        <v>6.0</v>
      </c>
      <c r="I55" s="14" t="s">
        <v>24</v>
      </c>
      <c r="J55" s="14">
        <v>1814.0</v>
      </c>
      <c r="K55" s="16"/>
      <c r="L55" s="14">
        <v>241.0</v>
      </c>
      <c r="M55" s="16"/>
      <c r="N55" s="14">
        <v>8.0</v>
      </c>
      <c r="O55" s="16"/>
      <c r="P55" s="14" t="s">
        <v>24</v>
      </c>
      <c r="Q55" s="29"/>
      <c r="R55" s="14">
        <v>277.0</v>
      </c>
    </row>
    <row r="56" hidden="1">
      <c r="A56" s="3" t="s">
        <v>195</v>
      </c>
      <c r="B56" s="4" t="s">
        <v>196</v>
      </c>
      <c r="C56" s="4">
        <v>2021.0</v>
      </c>
      <c r="D56" s="8" t="s">
        <v>197</v>
      </c>
      <c r="E56" s="4" t="s">
        <v>33</v>
      </c>
      <c r="F56" s="3">
        <v>6.0</v>
      </c>
      <c r="G56" s="3" t="s">
        <v>198</v>
      </c>
      <c r="H56" s="4">
        <v>6.0</v>
      </c>
      <c r="I56" s="4" t="s">
        <v>24</v>
      </c>
      <c r="J56" s="6"/>
      <c r="K56" s="6"/>
      <c r="L56" s="4">
        <v>130.0</v>
      </c>
      <c r="M56" s="6"/>
      <c r="N56" s="4">
        <v>6.0</v>
      </c>
      <c r="O56" s="6"/>
      <c r="P56" s="4" t="s">
        <v>24</v>
      </c>
      <c r="Q56" s="6"/>
      <c r="R56" s="4">
        <v>201.0</v>
      </c>
    </row>
    <row r="57" hidden="1">
      <c r="A57" s="3" t="s">
        <v>199</v>
      </c>
      <c r="B57" s="4" t="s">
        <v>200</v>
      </c>
      <c r="C57" s="4">
        <v>2020.0</v>
      </c>
      <c r="D57" s="5" t="s">
        <v>201</v>
      </c>
      <c r="E57" s="4" t="s">
        <v>33</v>
      </c>
      <c r="F57" s="3">
        <v>8.0</v>
      </c>
      <c r="G57" s="3" t="s">
        <v>22</v>
      </c>
      <c r="H57" s="4">
        <v>6.0</v>
      </c>
      <c r="I57" s="4" t="s">
        <v>24</v>
      </c>
      <c r="J57" s="4">
        <v>2528.0</v>
      </c>
      <c r="K57" s="6"/>
      <c r="L57" s="4">
        <v>250.0</v>
      </c>
      <c r="M57" s="6"/>
      <c r="N57" s="4">
        <v>8.0</v>
      </c>
      <c r="O57" s="6"/>
      <c r="P57" s="4" t="s">
        <v>24</v>
      </c>
      <c r="Q57" s="6"/>
      <c r="R57" s="4">
        <v>300.0</v>
      </c>
    </row>
    <row r="58" hidden="1">
      <c r="A58" s="12" t="s">
        <v>202</v>
      </c>
      <c r="B58" s="30" t="s">
        <v>203</v>
      </c>
      <c r="C58" s="14">
        <v>2019.0</v>
      </c>
      <c r="D58" s="21" t="s">
        <v>204</v>
      </c>
      <c r="E58" s="14" t="s">
        <v>33</v>
      </c>
      <c r="F58" s="18">
        <v>36.0</v>
      </c>
      <c r="G58" s="12" t="s">
        <v>22</v>
      </c>
      <c r="H58" s="14">
        <v>7.0</v>
      </c>
      <c r="I58" s="14" t="s">
        <v>24</v>
      </c>
      <c r="J58" s="14">
        <v>1800.0</v>
      </c>
      <c r="K58" s="14">
        <v>1.0</v>
      </c>
      <c r="L58" s="14">
        <v>250.0</v>
      </c>
      <c r="M58" s="16"/>
      <c r="N58" s="14">
        <v>36.0</v>
      </c>
      <c r="O58" s="16"/>
      <c r="P58" s="14" t="s">
        <v>24</v>
      </c>
      <c r="Q58" s="16"/>
      <c r="R58" s="14">
        <v>250.0</v>
      </c>
    </row>
    <row r="59">
      <c r="A59" s="3" t="s">
        <v>205</v>
      </c>
      <c r="B59" s="4" t="s">
        <v>206</v>
      </c>
      <c r="C59" s="4">
        <v>2023.0</v>
      </c>
      <c r="D59" s="8" t="s">
        <v>207</v>
      </c>
      <c r="E59" s="4" t="s">
        <v>28</v>
      </c>
      <c r="F59" s="31"/>
      <c r="G59" s="31"/>
      <c r="H59" s="4">
        <v>7.0</v>
      </c>
      <c r="I59" s="4" t="s">
        <v>24</v>
      </c>
      <c r="J59" s="4">
        <v>3500.0</v>
      </c>
      <c r="K59" s="4">
        <v>1.0</v>
      </c>
      <c r="L59" s="4">
        <v>320.0</v>
      </c>
      <c r="M59" s="6"/>
      <c r="N59" s="6"/>
      <c r="O59" s="6"/>
      <c r="P59" s="4" t="s">
        <v>23</v>
      </c>
      <c r="Q59" s="6"/>
      <c r="R59" s="4">
        <v>320.0</v>
      </c>
    </row>
    <row r="60" hidden="1">
      <c r="A60" s="3" t="s">
        <v>208</v>
      </c>
      <c r="B60" s="7" t="s">
        <v>209</v>
      </c>
      <c r="C60" s="4">
        <v>2022.0</v>
      </c>
      <c r="D60" s="8" t="s">
        <v>210</v>
      </c>
      <c r="E60" s="4" t="s">
        <v>33</v>
      </c>
      <c r="F60" s="3">
        <v>8.0</v>
      </c>
      <c r="G60" s="3" t="s">
        <v>181</v>
      </c>
      <c r="H60" s="4">
        <v>8.0</v>
      </c>
      <c r="I60" s="4" t="s">
        <v>24</v>
      </c>
      <c r="J60" s="4">
        <v>2800.0</v>
      </c>
      <c r="K60" s="4">
        <v>3.0</v>
      </c>
      <c r="L60" s="4">
        <v>1020.0</v>
      </c>
      <c r="M60" s="6"/>
      <c r="N60" s="4">
        <v>8.0</v>
      </c>
      <c r="O60" s="6"/>
      <c r="P60" s="4" t="s">
        <v>24</v>
      </c>
      <c r="Q60" s="6"/>
      <c r="R60" s="4">
        <v>350.0</v>
      </c>
    </row>
    <row r="61" hidden="1">
      <c r="A61" s="3" t="s">
        <v>178</v>
      </c>
      <c r="B61" s="4" t="s">
        <v>211</v>
      </c>
      <c r="C61" s="6"/>
      <c r="D61" s="5" t="s">
        <v>212</v>
      </c>
      <c r="E61" s="4" t="s">
        <v>33</v>
      </c>
      <c r="F61" s="3">
        <v>6.0</v>
      </c>
      <c r="G61" s="3" t="s">
        <v>213</v>
      </c>
      <c r="H61" s="4">
        <v>8.0</v>
      </c>
      <c r="I61" s="4" t="s">
        <v>214</v>
      </c>
      <c r="J61" s="4">
        <v>1134.0</v>
      </c>
      <c r="K61" s="6"/>
      <c r="L61" s="4">
        <v>204.0</v>
      </c>
      <c r="M61" s="6"/>
      <c r="N61" s="4">
        <v>6.0</v>
      </c>
      <c r="O61" s="6"/>
      <c r="P61" s="4" t="s">
        <v>24</v>
      </c>
      <c r="Q61" s="6"/>
      <c r="R61" s="4">
        <v>161.0</v>
      </c>
    </row>
    <row r="62" hidden="1">
      <c r="A62" s="3" t="s">
        <v>215</v>
      </c>
      <c r="B62" s="20" t="s">
        <v>216</v>
      </c>
      <c r="C62" s="6"/>
      <c r="D62" s="8" t="s">
        <v>217</v>
      </c>
      <c r="E62" s="4" t="s">
        <v>21</v>
      </c>
      <c r="F62" s="9">
        <v>4.0</v>
      </c>
      <c r="G62" s="3" t="s">
        <v>40</v>
      </c>
      <c r="H62" s="4">
        <v>8.0</v>
      </c>
      <c r="I62" s="4" t="s">
        <v>24</v>
      </c>
      <c r="J62" s="4">
        <v>3175.0</v>
      </c>
      <c r="K62" s="4">
        <v>120.0</v>
      </c>
      <c r="L62" s="4">
        <v>332.0</v>
      </c>
      <c r="M62" s="6"/>
      <c r="N62" s="32">
        <v>4.0</v>
      </c>
      <c r="O62" s="6"/>
      <c r="P62" s="4" t="s">
        <v>23</v>
      </c>
      <c r="Q62" s="6"/>
      <c r="R62" s="4">
        <v>232.0</v>
      </c>
    </row>
    <row r="63" hidden="1">
      <c r="A63" s="3" t="s">
        <v>218</v>
      </c>
      <c r="B63" s="6"/>
      <c r="C63" s="6"/>
      <c r="D63" s="5" t="s">
        <v>219</v>
      </c>
      <c r="E63" s="4" t="s">
        <v>22</v>
      </c>
      <c r="F63" s="9">
        <v>3.0</v>
      </c>
      <c r="G63" s="3" t="s">
        <v>40</v>
      </c>
      <c r="H63" s="4">
        <v>10.0</v>
      </c>
      <c r="I63" s="4" t="s">
        <v>24</v>
      </c>
      <c r="J63" s="4">
        <v>2810.0</v>
      </c>
      <c r="K63" s="4">
        <v>3.0</v>
      </c>
      <c r="L63" s="4">
        <v>1000.0</v>
      </c>
      <c r="M63" s="6"/>
      <c r="N63" s="32">
        <v>3.0</v>
      </c>
      <c r="O63" s="6"/>
      <c r="P63" s="6"/>
      <c r="Q63" s="6"/>
      <c r="R63" s="4">
        <v>360.0</v>
      </c>
    </row>
    <row r="64" hidden="1">
      <c r="A64" s="3" t="s">
        <v>220</v>
      </c>
      <c r="B64" s="4" t="s">
        <v>221</v>
      </c>
      <c r="C64" s="4">
        <v>2019.0</v>
      </c>
      <c r="D64" s="5" t="s">
        <v>222</v>
      </c>
      <c r="E64" s="4" t="s">
        <v>33</v>
      </c>
      <c r="F64" s="3">
        <v>4.0</v>
      </c>
      <c r="G64" s="3" t="s">
        <v>181</v>
      </c>
      <c r="H64" s="4">
        <v>12.0</v>
      </c>
      <c r="I64" s="4" t="s">
        <v>24</v>
      </c>
      <c r="J64" s="4">
        <v>5760.0</v>
      </c>
      <c r="K64" s="6"/>
      <c r="L64" s="6"/>
      <c r="M64" s="4">
        <v>300.0</v>
      </c>
      <c r="N64" s="4">
        <v>4.0</v>
      </c>
      <c r="O64" s="6"/>
      <c r="P64" s="4" t="s">
        <v>23</v>
      </c>
      <c r="Q64" s="6"/>
      <c r="R64" s="4">
        <v>519.0</v>
      </c>
    </row>
    <row r="65">
      <c r="A65" s="3" t="s">
        <v>223</v>
      </c>
      <c r="B65" s="6"/>
      <c r="C65" s="6"/>
      <c r="D65" s="8" t="s">
        <v>224</v>
      </c>
      <c r="E65" s="4" t="s">
        <v>28</v>
      </c>
      <c r="F65" s="31"/>
      <c r="G65" s="3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3" t="s">
        <v>223</v>
      </c>
      <c r="B66" s="6"/>
      <c r="C66" s="6"/>
      <c r="D66" s="8" t="s">
        <v>225</v>
      </c>
      <c r="E66" s="4" t="s">
        <v>28</v>
      </c>
      <c r="F66" s="31"/>
      <c r="G66" s="3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hidden="1">
      <c r="A67" s="3" t="s">
        <v>178</v>
      </c>
      <c r="B67" s="4" t="s">
        <v>226</v>
      </c>
      <c r="C67" s="4">
        <v>2021.0</v>
      </c>
      <c r="D67" s="5" t="s">
        <v>227</v>
      </c>
      <c r="E67" s="4" t="s">
        <v>33</v>
      </c>
      <c r="F67" s="3">
        <v>6.0</v>
      </c>
      <c r="G67" s="3" t="s">
        <v>181</v>
      </c>
      <c r="H67" s="6"/>
      <c r="I67" s="4" t="s">
        <v>67</v>
      </c>
      <c r="J67" s="6"/>
      <c r="K67" s="6"/>
      <c r="L67" s="4">
        <v>322.0</v>
      </c>
      <c r="M67" s="6"/>
      <c r="N67" s="4">
        <v>6.0</v>
      </c>
      <c r="O67" s="4">
        <v>12.0</v>
      </c>
      <c r="P67" s="4" t="s">
        <v>24</v>
      </c>
      <c r="Q67" s="6"/>
      <c r="R67" s="4">
        <v>203.0</v>
      </c>
    </row>
    <row r="68" hidden="1">
      <c r="A68" s="3" t="s">
        <v>228</v>
      </c>
      <c r="B68" s="4" t="s">
        <v>229</v>
      </c>
      <c r="C68" s="6"/>
      <c r="D68" s="5" t="s">
        <v>230</v>
      </c>
      <c r="E68" s="4" t="s">
        <v>22</v>
      </c>
      <c r="F68" s="9">
        <v>3.0</v>
      </c>
      <c r="G68" s="3" t="s">
        <v>40</v>
      </c>
      <c r="H68" s="6"/>
      <c r="I68" s="4" t="s">
        <v>24</v>
      </c>
      <c r="J68" s="4">
        <v>1300.0</v>
      </c>
      <c r="K68" s="4">
        <v>3.75</v>
      </c>
      <c r="L68" s="4">
        <v>520.0</v>
      </c>
      <c r="M68" s="6"/>
      <c r="N68" s="4" t="s">
        <v>231</v>
      </c>
      <c r="O68" s="6"/>
      <c r="P68" s="6"/>
      <c r="Q68" s="6"/>
      <c r="R68" s="4">
        <v>140.0</v>
      </c>
    </row>
    <row r="69" hidden="1">
      <c r="A69" s="33"/>
      <c r="F69" s="33"/>
      <c r="G69" s="33"/>
    </row>
    <row r="70" hidden="1">
      <c r="A70" s="33"/>
      <c r="F70" s="33"/>
      <c r="G70" s="33"/>
    </row>
    <row r="71" hidden="1">
      <c r="A71" s="33"/>
      <c r="F71" s="33"/>
      <c r="G71" s="33"/>
    </row>
    <row r="72" hidden="1">
      <c r="A72" s="33"/>
      <c r="F72" s="33"/>
      <c r="G72" s="33"/>
    </row>
    <row r="73" hidden="1">
      <c r="A73" s="33"/>
      <c r="F73" s="33"/>
      <c r="G73" s="33"/>
    </row>
    <row r="74" hidden="1">
      <c r="A74" s="33"/>
      <c r="F74" s="33"/>
      <c r="G74" s="33"/>
    </row>
    <row r="75" hidden="1">
      <c r="A75" s="33"/>
      <c r="F75" s="33"/>
      <c r="G75" s="33"/>
    </row>
    <row r="76" hidden="1">
      <c r="A76" s="33"/>
      <c r="F76" s="33"/>
      <c r="G76" s="33"/>
    </row>
    <row r="77" hidden="1">
      <c r="A77" s="33"/>
      <c r="F77" s="33"/>
      <c r="G77" s="33"/>
    </row>
    <row r="78" hidden="1">
      <c r="A78" s="33"/>
      <c r="F78" s="33"/>
      <c r="G78" s="33"/>
    </row>
    <row r="79" hidden="1">
      <c r="A79" s="33"/>
      <c r="F79" s="33"/>
      <c r="G79" s="33"/>
    </row>
    <row r="80" hidden="1">
      <c r="A80" s="33"/>
      <c r="F80" s="33"/>
      <c r="G80" s="33"/>
    </row>
    <row r="81" hidden="1">
      <c r="A81" s="33"/>
      <c r="F81" s="33"/>
      <c r="G81" s="33"/>
    </row>
    <row r="82" hidden="1">
      <c r="A82" s="33"/>
      <c r="F82" s="33"/>
      <c r="G82" s="33"/>
    </row>
    <row r="83" hidden="1">
      <c r="A83" s="33"/>
      <c r="F83" s="33"/>
      <c r="G83" s="33"/>
    </row>
    <row r="84" hidden="1">
      <c r="A84" s="33"/>
      <c r="F84" s="33"/>
      <c r="G84" s="33"/>
    </row>
    <row r="85" hidden="1">
      <c r="A85" s="33"/>
      <c r="F85" s="33"/>
      <c r="G85" s="33"/>
    </row>
    <row r="86" hidden="1">
      <c r="A86" s="33"/>
      <c r="F86" s="33"/>
      <c r="G86" s="33"/>
    </row>
    <row r="87" hidden="1">
      <c r="A87" s="33"/>
      <c r="F87" s="33"/>
      <c r="G87" s="33"/>
    </row>
    <row r="88" hidden="1">
      <c r="A88" s="33"/>
      <c r="F88" s="33"/>
      <c r="G88" s="33"/>
    </row>
    <row r="89" hidden="1">
      <c r="A89" s="33"/>
      <c r="F89" s="33"/>
      <c r="G89" s="33"/>
    </row>
    <row r="90" hidden="1">
      <c r="A90" s="33"/>
      <c r="F90" s="33"/>
      <c r="G90" s="33"/>
    </row>
    <row r="91" hidden="1">
      <c r="A91" s="33"/>
      <c r="F91" s="33"/>
      <c r="G91" s="33"/>
    </row>
    <row r="92" hidden="1">
      <c r="A92" s="33"/>
      <c r="F92" s="33"/>
      <c r="G92" s="33"/>
    </row>
    <row r="93" hidden="1">
      <c r="A93" s="33"/>
      <c r="F93" s="33"/>
      <c r="G93" s="33"/>
    </row>
    <row r="94" hidden="1">
      <c r="A94" s="33"/>
      <c r="F94" s="33"/>
      <c r="G94" s="33"/>
    </row>
    <row r="95" hidden="1">
      <c r="A95" s="33"/>
      <c r="F95" s="33"/>
      <c r="G95" s="33"/>
    </row>
    <row r="96" hidden="1">
      <c r="A96" s="33"/>
      <c r="F96" s="33"/>
      <c r="G96" s="33"/>
    </row>
    <row r="97" hidden="1">
      <c r="A97" s="33"/>
      <c r="F97" s="33"/>
      <c r="G97" s="33"/>
    </row>
    <row r="98" hidden="1">
      <c r="A98" s="33"/>
      <c r="F98" s="33"/>
      <c r="G98" s="33"/>
    </row>
    <row r="99" hidden="1">
      <c r="A99" s="33"/>
      <c r="F99" s="33"/>
      <c r="G99" s="33"/>
    </row>
    <row r="100" hidden="1">
      <c r="A100" s="33"/>
      <c r="F100" s="33"/>
      <c r="G100" s="33"/>
    </row>
    <row r="101" hidden="1">
      <c r="A101" s="33"/>
      <c r="F101" s="33"/>
      <c r="G101" s="33"/>
    </row>
    <row r="102" hidden="1">
      <c r="A102" s="33"/>
      <c r="F102" s="33"/>
      <c r="G102" s="33"/>
    </row>
    <row r="103" hidden="1">
      <c r="A103" s="33"/>
      <c r="F103" s="33"/>
      <c r="G103" s="33"/>
    </row>
    <row r="104" hidden="1">
      <c r="A104" s="33"/>
      <c r="F104" s="33"/>
      <c r="G104" s="33"/>
    </row>
    <row r="105" hidden="1">
      <c r="A105" s="33"/>
      <c r="F105" s="33"/>
      <c r="G105" s="33"/>
    </row>
    <row r="106" hidden="1">
      <c r="A106" s="33"/>
      <c r="F106" s="33"/>
      <c r="G106" s="33"/>
    </row>
    <row r="107" hidden="1">
      <c r="A107" s="33"/>
      <c r="F107" s="33"/>
      <c r="G107" s="33"/>
    </row>
    <row r="108" hidden="1">
      <c r="A108" s="33"/>
      <c r="F108" s="33"/>
      <c r="G108" s="33"/>
    </row>
    <row r="109" hidden="1">
      <c r="A109" s="33"/>
      <c r="F109" s="33"/>
      <c r="G109" s="33"/>
    </row>
    <row r="110" hidden="1">
      <c r="A110" s="33"/>
      <c r="F110" s="33"/>
      <c r="G110" s="33"/>
    </row>
    <row r="111" hidden="1">
      <c r="A111" s="33"/>
      <c r="F111" s="33"/>
      <c r="G111" s="33"/>
    </row>
    <row r="112" hidden="1">
      <c r="A112" s="33"/>
      <c r="F112" s="33"/>
      <c r="G112" s="33"/>
    </row>
    <row r="113" hidden="1">
      <c r="A113" s="33"/>
      <c r="F113" s="33"/>
      <c r="G113" s="33"/>
    </row>
    <row r="114" hidden="1">
      <c r="A114" s="33"/>
      <c r="F114" s="33"/>
      <c r="G114" s="33"/>
    </row>
    <row r="115" hidden="1">
      <c r="A115" s="33"/>
      <c r="F115" s="33"/>
      <c r="G115" s="33"/>
    </row>
    <row r="116" hidden="1">
      <c r="A116" s="33"/>
      <c r="F116" s="33"/>
      <c r="G116" s="33"/>
    </row>
    <row r="117" hidden="1">
      <c r="A117" s="33"/>
      <c r="F117" s="33"/>
      <c r="G117" s="33"/>
    </row>
    <row r="118" hidden="1">
      <c r="A118" s="33"/>
      <c r="F118" s="33"/>
      <c r="G118" s="33"/>
    </row>
    <row r="119" hidden="1">
      <c r="A119" s="33"/>
      <c r="F119" s="33"/>
      <c r="G119" s="33"/>
    </row>
    <row r="120" hidden="1">
      <c r="A120" s="33"/>
      <c r="F120" s="33"/>
      <c r="G120" s="33"/>
    </row>
    <row r="121" hidden="1">
      <c r="A121" s="33"/>
      <c r="F121" s="33"/>
      <c r="G121" s="33"/>
    </row>
    <row r="122" hidden="1">
      <c r="A122" s="33"/>
      <c r="F122" s="33"/>
      <c r="G122" s="33"/>
    </row>
    <row r="123" hidden="1">
      <c r="A123" s="33"/>
      <c r="F123" s="33"/>
      <c r="G123" s="33"/>
    </row>
    <row r="124" hidden="1">
      <c r="A124" s="33"/>
      <c r="F124" s="33"/>
      <c r="G124" s="33"/>
    </row>
    <row r="125" hidden="1">
      <c r="A125" s="33"/>
      <c r="F125" s="33"/>
      <c r="G125" s="33"/>
    </row>
    <row r="126" hidden="1">
      <c r="A126" s="33"/>
      <c r="F126" s="33"/>
      <c r="G126" s="33"/>
    </row>
    <row r="127" hidden="1">
      <c r="A127" s="33"/>
      <c r="F127" s="33"/>
      <c r="G127" s="33"/>
    </row>
    <row r="128" hidden="1">
      <c r="A128" s="33"/>
      <c r="F128" s="33"/>
      <c r="G128" s="33"/>
    </row>
    <row r="129" hidden="1">
      <c r="A129" s="33"/>
      <c r="F129" s="33"/>
      <c r="G129" s="33"/>
    </row>
    <row r="130" hidden="1">
      <c r="A130" s="33"/>
      <c r="F130" s="33"/>
      <c r="G130" s="33"/>
    </row>
    <row r="131" hidden="1">
      <c r="A131" s="33"/>
      <c r="F131" s="33"/>
      <c r="G131" s="33"/>
    </row>
    <row r="132" hidden="1">
      <c r="A132" s="33"/>
      <c r="F132" s="33"/>
      <c r="G132" s="33"/>
    </row>
    <row r="133" hidden="1">
      <c r="A133" s="33"/>
      <c r="F133" s="33"/>
      <c r="G133" s="33"/>
    </row>
    <row r="134" hidden="1">
      <c r="A134" s="33"/>
      <c r="F134" s="33"/>
      <c r="G134" s="33"/>
    </row>
    <row r="135" hidden="1">
      <c r="A135" s="33"/>
      <c r="F135" s="33"/>
      <c r="G135" s="33"/>
    </row>
    <row r="136" hidden="1">
      <c r="A136" s="33"/>
      <c r="F136" s="33"/>
      <c r="G136" s="33"/>
    </row>
    <row r="137" hidden="1">
      <c r="A137" s="33"/>
      <c r="F137" s="33"/>
      <c r="G137" s="33"/>
    </row>
    <row r="138" hidden="1">
      <c r="A138" s="33"/>
      <c r="F138" s="33"/>
      <c r="G138" s="33"/>
    </row>
    <row r="139" hidden="1">
      <c r="A139" s="33"/>
      <c r="F139" s="33"/>
      <c r="G139" s="33"/>
    </row>
    <row r="140" hidden="1">
      <c r="A140" s="33"/>
      <c r="F140" s="33"/>
      <c r="G140" s="33"/>
    </row>
    <row r="141" hidden="1">
      <c r="A141" s="33"/>
      <c r="F141" s="33"/>
      <c r="G141" s="33"/>
    </row>
    <row r="142" hidden="1">
      <c r="A142" s="33"/>
      <c r="F142" s="33"/>
      <c r="G142" s="33"/>
    </row>
    <row r="143" hidden="1">
      <c r="A143" s="33"/>
      <c r="F143" s="33"/>
      <c r="G143" s="33"/>
    </row>
    <row r="144" hidden="1">
      <c r="A144" s="33"/>
      <c r="F144" s="33"/>
      <c r="G144" s="33"/>
    </row>
    <row r="145" hidden="1">
      <c r="A145" s="33"/>
      <c r="F145" s="33"/>
      <c r="G145" s="33"/>
    </row>
    <row r="146" hidden="1">
      <c r="A146" s="33"/>
      <c r="F146" s="33"/>
      <c r="G146" s="33"/>
    </row>
    <row r="147" hidden="1">
      <c r="A147" s="33"/>
      <c r="F147" s="33"/>
      <c r="G147" s="33"/>
    </row>
    <row r="148" hidden="1">
      <c r="A148" s="33"/>
      <c r="F148" s="33"/>
      <c r="G148" s="33"/>
    </row>
    <row r="149" hidden="1">
      <c r="A149" s="33"/>
      <c r="F149" s="33"/>
      <c r="G149" s="33"/>
    </row>
    <row r="150" hidden="1">
      <c r="A150" s="33"/>
      <c r="F150" s="33"/>
      <c r="G150" s="33"/>
    </row>
    <row r="151" hidden="1">
      <c r="A151" s="33"/>
      <c r="F151" s="33"/>
      <c r="G151" s="33"/>
    </row>
    <row r="152" hidden="1">
      <c r="A152" s="33"/>
      <c r="F152" s="33"/>
      <c r="G152" s="33"/>
    </row>
    <row r="153" hidden="1">
      <c r="A153" s="33"/>
      <c r="F153" s="33"/>
      <c r="G153" s="33"/>
    </row>
    <row r="154" hidden="1">
      <c r="A154" s="33"/>
      <c r="F154" s="33"/>
      <c r="G154" s="33"/>
    </row>
    <row r="155" hidden="1">
      <c r="A155" s="33"/>
      <c r="F155" s="33"/>
      <c r="G155" s="33"/>
    </row>
    <row r="156" hidden="1">
      <c r="A156" s="33"/>
      <c r="F156" s="33"/>
      <c r="G156" s="33"/>
    </row>
    <row r="157" hidden="1">
      <c r="A157" s="33"/>
      <c r="F157" s="33"/>
      <c r="G157" s="33"/>
    </row>
    <row r="158" hidden="1">
      <c r="A158" s="33"/>
      <c r="F158" s="33"/>
      <c r="G158" s="33"/>
    </row>
    <row r="159" hidden="1">
      <c r="A159" s="33"/>
      <c r="F159" s="33"/>
      <c r="G159" s="33"/>
    </row>
    <row r="160" hidden="1">
      <c r="A160" s="33"/>
      <c r="F160" s="33"/>
      <c r="G160" s="33"/>
    </row>
    <row r="161" hidden="1">
      <c r="A161" s="33"/>
      <c r="F161" s="33"/>
      <c r="G161" s="33"/>
    </row>
    <row r="162" hidden="1">
      <c r="A162" s="33"/>
      <c r="F162" s="33"/>
      <c r="G162" s="33"/>
    </row>
    <row r="163" hidden="1">
      <c r="A163" s="33"/>
      <c r="F163" s="33"/>
      <c r="G163" s="33"/>
    </row>
    <row r="164" hidden="1">
      <c r="A164" s="33"/>
      <c r="F164" s="33"/>
      <c r="G164" s="33"/>
    </row>
    <row r="165" hidden="1">
      <c r="A165" s="33"/>
      <c r="F165" s="33"/>
      <c r="G165" s="33"/>
    </row>
    <row r="166" hidden="1">
      <c r="A166" s="33"/>
      <c r="F166" s="33"/>
      <c r="G166" s="33"/>
    </row>
    <row r="167" hidden="1">
      <c r="A167" s="33"/>
      <c r="F167" s="33"/>
      <c r="G167" s="33"/>
    </row>
    <row r="168" hidden="1">
      <c r="A168" s="33"/>
      <c r="F168" s="33"/>
      <c r="G168" s="33"/>
    </row>
    <row r="169" hidden="1">
      <c r="A169" s="33"/>
      <c r="F169" s="33"/>
      <c r="G169" s="33"/>
    </row>
    <row r="170" hidden="1">
      <c r="A170" s="33"/>
      <c r="F170" s="33"/>
      <c r="G170" s="33"/>
    </row>
    <row r="171" hidden="1">
      <c r="A171" s="33"/>
      <c r="F171" s="33"/>
      <c r="G171" s="33"/>
    </row>
    <row r="172" hidden="1">
      <c r="A172" s="33"/>
      <c r="F172" s="33"/>
      <c r="G172" s="33"/>
    </row>
    <row r="173" hidden="1">
      <c r="A173" s="33"/>
      <c r="F173" s="33"/>
      <c r="G173" s="33"/>
    </row>
    <row r="174" hidden="1">
      <c r="A174" s="33"/>
      <c r="F174" s="33"/>
      <c r="G174" s="33"/>
    </row>
    <row r="175" hidden="1">
      <c r="A175" s="33"/>
      <c r="F175" s="33"/>
      <c r="G175" s="33"/>
    </row>
    <row r="176" hidden="1">
      <c r="A176" s="33"/>
      <c r="F176" s="33"/>
      <c r="G176" s="33"/>
    </row>
    <row r="177" hidden="1">
      <c r="A177" s="33"/>
      <c r="F177" s="33"/>
      <c r="G177" s="33"/>
    </row>
    <row r="178" hidden="1">
      <c r="A178" s="33"/>
      <c r="F178" s="33"/>
      <c r="G178" s="33"/>
    </row>
    <row r="179" hidden="1">
      <c r="A179" s="33"/>
      <c r="F179" s="33"/>
      <c r="G179" s="33"/>
    </row>
    <row r="180" hidden="1">
      <c r="A180" s="33"/>
      <c r="F180" s="33"/>
      <c r="G180" s="33"/>
    </row>
    <row r="181" hidden="1">
      <c r="A181" s="33"/>
      <c r="F181" s="33"/>
      <c r="G181" s="33"/>
    </row>
    <row r="182" hidden="1">
      <c r="A182" s="33"/>
      <c r="F182" s="33"/>
      <c r="G182" s="33"/>
    </row>
    <row r="183" hidden="1">
      <c r="A183" s="33"/>
      <c r="F183" s="33"/>
      <c r="G183" s="33"/>
    </row>
    <row r="184" hidden="1">
      <c r="A184" s="33"/>
      <c r="F184" s="33"/>
      <c r="G184" s="33"/>
    </row>
    <row r="185" hidden="1">
      <c r="A185" s="33"/>
      <c r="F185" s="33"/>
      <c r="G185" s="33"/>
    </row>
    <row r="186" hidden="1">
      <c r="A186" s="33"/>
      <c r="F186" s="33"/>
      <c r="G186" s="33"/>
    </row>
    <row r="187" hidden="1">
      <c r="A187" s="33"/>
      <c r="F187" s="33"/>
      <c r="G187" s="33"/>
    </row>
    <row r="188" hidden="1">
      <c r="A188" s="33"/>
      <c r="F188" s="33"/>
      <c r="G188" s="33"/>
    </row>
    <row r="189" hidden="1">
      <c r="A189" s="33"/>
      <c r="F189" s="33"/>
      <c r="G189" s="33"/>
    </row>
    <row r="190" hidden="1">
      <c r="A190" s="33"/>
      <c r="F190" s="33"/>
      <c r="G190" s="33"/>
    </row>
    <row r="191" hidden="1">
      <c r="A191" s="33"/>
      <c r="F191" s="33"/>
      <c r="G191" s="33"/>
    </row>
    <row r="192" hidden="1">
      <c r="A192" s="33"/>
      <c r="F192" s="33"/>
      <c r="G192" s="33"/>
    </row>
    <row r="193" hidden="1">
      <c r="A193" s="33"/>
      <c r="F193" s="33"/>
      <c r="G193" s="33"/>
    </row>
    <row r="194" hidden="1">
      <c r="A194" s="33"/>
      <c r="F194" s="33"/>
      <c r="G194" s="33"/>
    </row>
    <row r="195" hidden="1">
      <c r="A195" s="33"/>
      <c r="F195" s="33"/>
      <c r="G195" s="33"/>
    </row>
    <row r="196" hidden="1">
      <c r="A196" s="33"/>
      <c r="F196" s="33"/>
      <c r="G196" s="33"/>
    </row>
    <row r="197" hidden="1">
      <c r="A197" s="33"/>
      <c r="F197" s="33"/>
      <c r="G197" s="33"/>
    </row>
    <row r="198" hidden="1">
      <c r="A198" s="33"/>
      <c r="F198" s="33"/>
      <c r="G198" s="33"/>
    </row>
    <row r="199" hidden="1">
      <c r="A199" s="33"/>
      <c r="F199" s="33"/>
      <c r="G199" s="33"/>
    </row>
    <row r="200" hidden="1">
      <c r="A200" s="33"/>
      <c r="F200" s="33"/>
      <c r="G200" s="33"/>
    </row>
    <row r="201" hidden="1">
      <c r="A201" s="33"/>
      <c r="F201" s="33"/>
      <c r="G201" s="33"/>
    </row>
    <row r="202" hidden="1">
      <c r="A202" s="33"/>
      <c r="F202" s="33"/>
      <c r="G202" s="33"/>
    </row>
    <row r="203" hidden="1">
      <c r="A203" s="33"/>
      <c r="F203" s="33"/>
      <c r="G203" s="33"/>
    </row>
    <row r="204" hidden="1">
      <c r="A204" s="33"/>
      <c r="F204" s="33"/>
      <c r="G204" s="33"/>
    </row>
    <row r="205" hidden="1">
      <c r="A205" s="33"/>
      <c r="F205" s="33"/>
      <c r="G205" s="33"/>
    </row>
    <row r="206" hidden="1">
      <c r="A206" s="33"/>
      <c r="F206" s="33"/>
      <c r="G206" s="33"/>
    </row>
    <row r="207" hidden="1">
      <c r="A207" s="33"/>
      <c r="F207" s="33"/>
      <c r="G207" s="33"/>
    </row>
    <row r="208" hidden="1">
      <c r="A208" s="33"/>
      <c r="F208" s="33"/>
      <c r="G208" s="33"/>
    </row>
    <row r="209" hidden="1">
      <c r="A209" s="33"/>
      <c r="F209" s="33"/>
      <c r="G209" s="33"/>
    </row>
    <row r="210" hidden="1">
      <c r="A210" s="33"/>
      <c r="F210" s="33"/>
      <c r="G210" s="33"/>
    </row>
    <row r="211" hidden="1">
      <c r="A211" s="33"/>
      <c r="F211" s="33"/>
      <c r="G211" s="33"/>
    </row>
    <row r="212" hidden="1">
      <c r="A212" s="33"/>
      <c r="F212" s="33"/>
      <c r="G212" s="33"/>
    </row>
    <row r="213" hidden="1">
      <c r="A213" s="33"/>
      <c r="F213" s="33"/>
      <c r="G213" s="33"/>
    </row>
    <row r="214" hidden="1">
      <c r="A214" s="33"/>
      <c r="F214" s="33"/>
      <c r="G214" s="33"/>
    </row>
    <row r="215" hidden="1">
      <c r="A215" s="33"/>
      <c r="F215" s="33"/>
      <c r="G215" s="33"/>
    </row>
    <row r="216" hidden="1">
      <c r="A216" s="33"/>
      <c r="F216" s="33"/>
      <c r="G216" s="33"/>
    </row>
    <row r="217" hidden="1">
      <c r="A217" s="33"/>
      <c r="F217" s="33"/>
      <c r="G217" s="33"/>
    </row>
    <row r="218" hidden="1">
      <c r="A218" s="33"/>
      <c r="F218" s="33"/>
      <c r="G218" s="33"/>
    </row>
    <row r="219" hidden="1">
      <c r="A219" s="33"/>
      <c r="F219" s="33"/>
      <c r="G219" s="33"/>
    </row>
    <row r="220" hidden="1">
      <c r="A220" s="33"/>
      <c r="F220" s="33"/>
      <c r="G220" s="33"/>
    </row>
    <row r="221" hidden="1">
      <c r="A221" s="33"/>
      <c r="F221" s="33"/>
      <c r="G221" s="33"/>
    </row>
    <row r="222" hidden="1">
      <c r="A222" s="33"/>
      <c r="F222" s="33"/>
      <c r="G222" s="33"/>
    </row>
    <row r="223" hidden="1">
      <c r="A223" s="33"/>
      <c r="F223" s="33"/>
      <c r="G223" s="33"/>
    </row>
    <row r="224" hidden="1">
      <c r="A224" s="33"/>
      <c r="F224" s="33"/>
      <c r="G224" s="33"/>
    </row>
    <row r="225" hidden="1">
      <c r="A225" s="33"/>
      <c r="F225" s="33"/>
      <c r="G225" s="33"/>
    </row>
    <row r="226" hidden="1">
      <c r="A226" s="33"/>
      <c r="F226" s="33"/>
      <c r="G226" s="33"/>
    </row>
    <row r="227" hidden="1">
      <c r="A227" s="33"/>
      <c r="F227" s="33"/>
      <c r="G227" s="33"/>
    </row>
    <row r="228" hidden="1">
      <c r="A228" s="33"/>
      <c r="F228" s="33"/>
      <c r="G228" s="33"/>
    </row>
    <row r="229" hidden="1">
      <c r="A229" s="33"/>
      <c r="F229" s="33"/>
      <c r="G229" s="33"/>
    </row>
    <row r="230" hidden="1">
      <c r="A230" s="33"/>
      <c r="F230" s="33"/>
      <c r="G230" s="33"/>
    </row>
    <row r="231" hidden="1">
      <c r="A231" s="33"/>
      <c r="F231" s="33"/>
      <c r="G231" s="33"/>
    </row>
    <row r="232" hidden="1">
      <c r="A232" s="33"/>
      <c r="F232" s="33"/>
      <c r="G232" s="33"/>
    </row>
    <row r="233" hidden="1">
      <c r="A233" s="33"/>
      <c r="F233" s="33"/>
      <c r="G233" s="33"/>
    </row>
    <row r="234" hidden="1">
      <c r="A234" s="33"/>
      <c r="F234" s="33"/>
      <c r="G234" s="33"/>
    </row>
    <row r="235" hidden="1">
      <c r="A235" s="33"/>
      <c r="F235" s="33"/>
      <c r="G235" s="33"/>
    </row>
    <row r="236" hidden="1">
      <c r="A236" s="33"/>
      <c r="F236" s="33"/>
      <c r="G236" s="33"/>
    </row>
    <row r="237" hidden="1">
      <c r="A237" s="33"/>
      <c r="F237" s="33"/>
      <c r="G237" s="33"/>
    </row>
    <row r="238" hidden="1">
      <c r="A238" s="33"/>
      <c r="F238" s="33"/>
      <c r="G238" s="33"/>
    </row>
    <row r="239" hidden="1">
      <c r="A239" s="33"/>
      <c r="F239" s="33"/>
      <c r="G239" s="33"/>
    </row>
    <row r="240" hidden="1">
      <c r="A240" s="33"/>
      <c r="F240" s="33"/>
      <c r="G240" s="33"/>
    </row>
    <row r="241" hidden="1">
      <c r="A241" s="33"/>
      <c r="F241" s="33"/>
      <c r="G241" s="33"/>
    </row>
    <row r="242" hidden="1">
      <c r="A242" s="33"/>
      <c r="F242" s="33"/>
      <c r="G242" s="33"/>
    </row>
    <row r="243" hidden="1">
      <c r="A243" s="33"/>
      <c r="F243" s="33"/>
      <c r="G243" s="33"/>
    </row>
    <row r="244" hidden="1">
      <c r="A244" s="33"/>
      <c r="F244" s="33"/>
      <c r="G244" s="33"/>
    </row>
    <row r="245" hidden="1">
      <c r="A245" s="33"/>
      <c r="F245" s="33"/>
      <c r="G245" s="33"/>
    </row>
    <row r="246" hidden="1">
      <c r="A246" s="33"/>
      <c r="F246" s="33"/>
      <c r="G246" s="33"/>
    </row>
    <row r="247" hidden="1">
      <c r="A247" s="33"/>
      <c r="F247" s="33"/>
      <c r="G247" s="33"/>
    </row>
    <row r="248" hidden="1">
      <c r="A248" s="33"/>
      <c r="F248" s="33"/>
      <c r="G248" s="33"/>
    </row>
    <row r="249" hidden="1">
      <c r="A249" s="33"/>
      <c r="F249" s="33"/>
      <c r="G249" s="33"/>
    </row>
    <row r="250" hidden="1">
      <c r="A250" s="33"/>
      <c r="F250" s="33"/>
      <c r="G250" s="33"/>
    </row>
    <row r="251" hidden="1">
      <c r="A251" s="33"/>
      <c r="F251" s="33"/>
      <c r="G251" s="33"/>
    </row>
    <row r="252" hidden="1">
      <c r="A252" s="33"/>
      <c r="F252" s="33"/>
      <c r="G252" s="33"/>
    </row>
    <row r="253" hidden="1">
      <c r="A253" s="33"/>
      <c r="F253" s="33"/>
      <c r="G253" s="33"/>
    </row>
    <row r="254" hidden="1">
      <c r="A254" s="33"/>
      <c r="F254" s="33"/>
      <c r="G254" s="33"/>
    </row>
    <row r="255" hidden="1">
      <c r="A255" s="33"/>
      <c r="F255" s="33"/>
      <c r="G255" s="33"/>
    </row>
    <row r="256" hidden="1">
      <c r="A256" s="33"/>
      <c r="F256" s="33"/>
      <c r="G256" s="33"/>
    </row>
    <row r="257" hidden="1">
      <c r="A257" s="33"/>
      <c r="F257" s="33"/>
      <c r="G257" s="33"/>
    </row>
    <row r="258" hidden="1">
      <c r="A258" s="33"/>
      <c r="F258" s="33"/>
      <c r="G258" s="33"/>
    </row>
    <row r="259" hidden="1">
      <c r="A259" s="33"/>
      <c r="F259" s="33"/>
      <c r="G259" s="33"/>
    </row>
    <row r="260" hidden="1">
      <c r="A260" s="33"/>
      <c r="F260" s="33"/>
      <c r="G260" s="33"/>
    </row>
    <row r="261" hidden="1">
      <c r="A261" s="33"/>
      <c r="F261" s="33"/>
      <c r="G261" s="33"/>
    </row>
    <row r="262" hidden="1">
      <c r="A262" s="33"/>
      <c r="F262" s="33"/>
      <c r="G262" s="33"/>
    </row>
    <row r="263" hidden="1">
      <c r="A263" s="33"/>
      <c r="F263" s="33"/>
      <c r="G263" s="33"/>
    </row>
    <row r="264" hidden="1">
      <c r="A264" s="33"/>
      <c r="F264" s="33"/>
      <c r="G264" s="33"/>
    </row>
    <row r="265" hidden="1">
      <c r="A265" s="33"/>
      <c r="F265" s="33"/>
      <c r="G265" s="33"/>
    </row>
    <row r="266" hidden="1">
      <c r="A266" s="33"/>
      <c r="F266" s="33"/>
      <c r="G266" s="33"/>
    </row>
    <row r="267" hidden="1">
      <c r="A267" s="33"/>
      <c r="F267" s="33"/>
      <c r="G267" s="33"/>
    </row>
    <row r="268" hidden="1">
      <c r="A268" s="33"/>
      <c r="F268" s="33"/>
      <c r="G268" s="33"/>
    </row>
    <row r="269" hidden="1">
      <c r="A269" s="33"/>
      <c r="F269" s="33"/>
      <c r="G269" s="33"/>
    </row>
    <row r="270" hidden="1">
      <c r="A270" s="33"/>
      <c r="F270" s="33"/>
      <c r="G270" s="33"/>
    </row>
    <row r="271" hidden="1">
      <c r="A271" s="33"/>
      <c r="F271" s="33"/>
      <c r="G271" s="33"/>
    </row>
    <row r="272" hidden="1">
      <c r="A272" s="33"/>
      <c r="F272" s="33"/>
      <c r="G272" s="33"/>
    </row>
    <row r="273" hidden="1">
      <c r="A273" s="33"/>
      <c r="F273" s="33"/>
      <c r="G273" s="33"/>
    </row>
    <row r="274" hidden="1">
      <c r="A274" s="33"/>
      <c r="F274" s="33"/>
      <c r="G274" s="33"/>
    </row>
    <row r="275" hidden="1">
      <c r="A275" s="33"/>
      <c r="F275" s="33"/>
      <c r="G275" s="33"/>
    </row>
    <row r="276" hidden="1">
      <c r="A276" s="33"/>
      <c r="F276" s="33"/>
      <c r="G276" s="33"/>
    </row>
    <row r="277" hidden="1">
      <c r="A277" s="33"/>
      <c r="F277" s="33"/>
      <c r="G277" s="33"/>
    </row>
    <row r="278" hidden="1">
      <c r="A278" s="33"/>
      <c r="F278" s="33"/>
      <c r="G278" s="33"/>
    </row>
    <row r="279" hidden="1">
      <c r="A279" s="33"/>
      <c r="F279" s="33"/>
      <c r="G279" s="33"/>
    </row>
    <row r="280" hidden="1">
      <c r="A280" s="33"/>
      <c r="F280" s="33"/>
      <c r="G280" s="33"/>
    </row>
    <row r="281" hidden="1">
      <c r="A281" s="33"/>
      <c r="F281" s="33"/>
      <c r="G281" s="33"/>
    </row>
    <row r="282" hidden="1">
      <c r="A282" s="33"/>
      <c r="F282" s="33"/>
      <c r="G282" s="33"/>
    </row>
    <row r="283" hidden="1">
      <c r="A283" s="33"/>
      <c r="F283" s="33"/>
      <c r="G283" s="33"/>
    </row>
    <row r="284" hidden="1">
      <c r="A284" s="33"/>
      <c r="F284" s="33"/>
      <c r="G284" s="33"/>
    </row>
    <row r="285" hidden="1">
      <c r="A285" s="33"/>
      <c r="F285" s="33"/>
      <c r="G285" s="33"/>
    </row>
    <row r="286" hidden="1">
      <c r="A286" s="33"/>
      <c r="F286" s="33"/>
      <c r="G286" s="33"/>
    </row>
    <row r="287" hidden="1">
      <c r="A287" s="33"/>
      <c r="F287" s="33"/>
      <c r="G287" s="33"/>
    </row>
    <row r="288" hidden="1">
      <c r="A288" s="33"/>
      <c r="F288" s="33"/>
      <c r="G288" s="33"/>
    </row>
    <row r="289" hidden="1">
      <c r="A289" s="33"/>
      <c r="F289" s="33"/>
      <c r="G289" s="33"/>
    </row>
    <row r="290" hidden="1">
      <c r="A290" s="33"/>
      <c r="F290" s="33"/>
      <c r="G290" s="33"/>
    </row>
    <row r="291" hidden="1">
      <c r="A291" s="33"/>
      <c r="F291" s="33"/>
      <c r="G291" s="33"/>
    </row>
    <row r="292" hidden="1">
      <c r="A292" s="33"/>
      <c r="F292" s="33"/>
      <c r="G292" s="33"/>
    </row>
    <row r="293" hidden="1">
      <c r="A293" s="33"/>
      <c r="F293" s="33"/>
      <c r="G293" s="33"/>
    </row>
    <row r="294" hidden="1">
      <c r="A294" s="33"/>
      <c r="F294" s="33"/>
      <c r="G294" s="33"/>
    </row>
    <row r="295" hidden="1">
      <c r="A295" s="33"/>
      <c r="F295" s="33"/>
      <c r="G295" s="33"/>
    </row>
    <row r="296" hidden="1">
      <c r="A296" s="33"/>
      <c r="F296" s="33"/>
      <c r="G296" s="33"/>
    </row>
    <row r="297" hidden="1">
      <c r="A297" s="33"/>
      <c r="F297" s="33"/>
      <c r="G297" s="33"/>
    </row>
    <row r="298" hidden="1">
      <c r="A298" s="33"/>
      <c r="F298" s="33"/>
      <c r="G298" s="33"/>
    </row>
    <row r="299" hidden="1">
      <c r="A299" s="33"/>
      <c r="F299" s="33"/>
      <c r="G299" s="33"/>
    </row>
    <row r="300" hidden="1">
      <c r="A300" s="33"/>
      <c r="F300" s="33"/>
      <c r="G300" s="33"/>
    </row>
    <row r="301" hidden="1">
      <c r="A301" s="33"/>
      <c r="F301" s="33"/>
      <c r="G301" s="33"/>
    </row>
    <row r="302" hidden="1">
      <c r="A302" s="33"/>
      <c r="F302" s="33"/>
      <c r="G302" s="33"/>
    </row>
    <row r="303" hidden="1">
      <c r="A303" s="33"/>
      <c r="F303" s="33"/>
      <c r="G303" s="33"/>
    </row>
    <row r="304" hidden="1">
      <c r="A304" s="33"/>
      <c r="F304" s="33"/>
      <c r="G304" s="33"/>
    </row>
    <row r="305" hidden="1">
      <c r="A305" s="33"/>
      <c r="F305" s="33"/>
      <c r="G305" s="33"/>
    </row>
    <row r="306" hidden="1">
      <c r="A306" s="33"/>
      <c r="F306" s="33"/>
      <c r="G306" s="33"/>
    </row>
    <row r="307" hidden="1">
      <c r="A307" s="33"/>
      <c r="F307" s="33"/>
      <c r="G307" s="33"/>
    </row>
    <row r="308" hidden="1">
      <c r="A308" s="33"/>
      <c r="F308" s="33"/>
      <c r="G308" s="33"/>
    </row>
    <row r="309" hidden="1">
      <c r="A309" s="33"/>
      <c r="F309" s="33"/>
      <c r="G309" s="33"/>
    </row>
    <row r="310" hidden="1">
      <c r="A310" s="33"/>
      <c r="F310" s="33"/>
      <c r="G310" s="33"/>
    </row>
    <row r="311" hidden="1">
      <c r="A311" s="33"/>
      <c r="F311" s="33"/>
      <c r="G311" s="33"/>
    </row>
    <row r="312" hidden="1">
      <c r="A312" s="33"/>
      <c r="F312" s="33"/>
      <c r="G312" s="33"/>
    </row>
    <row r="313" hidden="1">
      <c r="A313" s="33"/>
      <c r="F313" s="33"/>
      <c r="G313" s="33"/>
    </row>
    <row r="314" hidden="1">
      <c r="A314" s="33"/>
      <c r="F314" s="33"/>
      <c r="G314" s="33"/>
    </row>
    <row r="315" hidden="1">
      <c r="A315" s="33"/>
      <c r="F315" s="33"/>
      <c r="G315" s="33"/>
    </row>
    <row r="316" hidden="1">
      <c r="A316" s="33"/>
      <c r="F316" s="33"/>
      <c r="G316" s="33"/>
    </row>
    <row r="317" hidden="1">
      <c r="A317" s="33"/>
      <c r="F317" s="33"/>
      <c r="G317" s="33"/>
    </row>
    <row r="318" hidden="1">
      <c r="A318" s="33"/>
      <c r="F318" s="33"/>
      <c r="G318" s="33"/>
    </row>
    <row r="319" hidden="1">
      <c r="A319" s="33"/>
      <c r="F319" s="33"/>
      <c r="G319" s="33"/>
    </row>
    <row r="320" hidden="1">
      <c r="A320" s="33"/>
      <c r="F320" s="33"/>
      <c r="G320" s="33"/>
    </row>
    <row r="321" hidden="1">
      <c r="A321" s="33"/>
      <c r="F321" s="33"/>
      <c r="G321" s="33"/>
    </row>
    <row r="322" hidden="1">
      <c r="A322" s="33"/>
      <c r="F322" s="33"/>
      <c r="G322" s="33"/>
    </row>
    <row r="323" hidden="1">
      <c r="A323" s="33"/>
      <c r="F323" s="33"/>
      <c r="G323" s="33"/>
    </row>
    <row r="324" hidden="1">
      <c r="A324" s="33"/>
      <c r="F324" s="33"/>
      <c r="G324" s="33"/>
    </row>
    <row r="325" hidden="1">
      <c r="A325" s="33"/>
      <c r="F325" s="33"/>
      <c r="G325" s="33"/>
    </row>
    <row r="326" hidden="1">
      <c r="A326" s="33"/>
      <c r="F326" s="33"/>
      <c r="G326" s="33"/>
    </row>
    <row r="327" hidden="1">
      <c r="A327" s="33"/>
      <c r="F327" s="33"/>
      <c r="G327" s="33"/>
    </row>
    <row r="328" hidden="1">
      <c r="A328" s="33"/>
      <c r="F328" s="33"/>
      <c r="G328" s="33"/>
    </row>
    <row r="329" hidden="1">
      <c r="A329" s="33"/>
      <c r="F329" s="33"/>
      <c r="G329" s="33"/>
    </row>
    <row r="330" hidden="1">
      <c r="A330" s="33"/>
      <c r="F330" s="33"/>
      <c r="G330" s="33"/>
    </row>
    <row r="331" hidden="1">
      <c r="A331" s="33"/>
      <c r="F331" s="33"/>
      <c r="G331" s="33"/>
    </row>
    <row r="332" hidden="1">
      <c r="A332" s="33"/>
      <c r="F332" s="33"/>
      <c r="G332" s="33"/>
    </row>
    <row r="333" hidden="1">
      <c r="A333" s="33"/>
      <c r="F333" s="33"/>
      <c r="G333" s="33"/>
    </row>
    <row r="334" hidden="1">
      <c r="A334" s="33"/>
      <c r="F334" s="33"/>
      <c r="G334" s="33"/>
    </row>
    <row r="335" hidden="1">
      <c r="A335" s="33"/>
      <c r="F335" s="33"/>
      <c r="G335" s="33"/>
    </row>
    <row r="336" hidden="1">
      <c r="A336" s="33"/>
      <c r="F336" s="33"/>
      <c r="G336" s="33"/>
    </row>
    <row r="337" hidden="1">
      <c r="A337" s="33"/>
      <c r="F337" s="33"/>
      <c r="G337" s="33"/>
    </row>
    <row r="338" hidden="1">
      <c r="A338" s="33"/>
      <c r="F338" s="33"/>
      <c r="G338" s="33"/>
    </row>
    <row r="339" hidden="1">
      <c r="A339" s="33"/>
      <c r="F339" s="33"/>
      <c r="G339" s="33"/>
    </row>
    <row r="340" hidden="1">
      <c r="A340" s="33"/>
      <c r="F340" s="33"/>
      <c r="G340" s="33"/>
    </row>
    <row r="341" hidden="1">
      <c r="A341" s="33"/>
      <c r="F341" s="33"/>
      <c r="G341" s="33"/>
    </row>
    <row r="342" hidden="1">
      <c r="A342" s="33"/>
      <c r="F342" s="33"/>
      <c r="G342" s="33"/>
    </row>
    <row r="343" hidden="1">
      <c r="A343" s="33"/>
      <c r="F343" s="33"/>
      <c r="G343" s="33"/>
    </row>
    <row r="344" hidden="1">
      <c r="A344" s="33"/>
      <c r="F344" s="33"/>
      <c r="G344" s="33"/>
    </row>
    <row r="345" hidden="1">
      <c r="A345" s="33"/>
      <c r="F345" s="33"/>
      <c r="G345" s="33"/>
    </row>
    <row r="346" hidden="1">
      <c r="A346" s="33"/>
      <c r="F346" s="33"/>
      <c r="G346" s="33"/>
    </row>
    <row r="347" hidden="1">
      <c r="A347" s="33"/>
      <c r="F347" s="33"/>
      <c r="G347" s="33"/>
    </row>
    <row r="348" hidden="1">
      <c r="A348" s="33"/>
      <c r="F348" s="33"/>
      <c r="G348" s="33"/>
    </row>
    <row r="349" hidden="1">
      <c r="A349" s="33"/>
      <c r="F349" s="33"/>
      <c r="G349" s="33"/>
    </row>
    <row r="350" hidden="1">
      <c r="A350" s="33"/>
      <c r="F350" s="33"/>
      <c r="G350" s="33"/>
    </row>
    <row r="351" hidden="1">
      <c r="A351" s="33"/>
      <c r="F351" s="33"/>
      <c r="G351" s="33"/>
    </row>
    <row r="352" hidden="1">
      <c r="A352" s="33"/>
      <c r="F352" s="33"/>
      <c r="G352" s="33"/>
    </row>
    <row r="353" hidden="1">
      <c r="A353" s="33"/>
      <c r="F353" s="33"/>
      <c r="G353" s="33"/>
    </row>
    <row r="354" hidden="1">
      <c r="A354" s="33"/>
      <c r="F354" s="33"/>
      <c r="G354" s="33"/>
    </row>
    <row r="355" hidden="1">
      <c r="A355" s="33"/>
      <c r="F355" s="33"/>
      <c r="G355" s="33"/>
    </row>
    <row r="356" hidden="1">
      <c r="A356" s="33"/>
      <c r="F356" s="33"/>
      <c r="G356" s="33"/>
    </row>
    <row r="357" hidden="1">
      <c r="A357" s="33"/>
      <c r="F357" s="33"/>
      <c r="G357" s="33"/>
    </row>
    <row r="358" hidden="1">
      <c r="A358" s="33"/>
      <c r="F358" s="33"/>
      <c r="G358" s="33"/>
    </row>
    <row r="359" hidden="1">
      <c r="A359" s="33"/>
      <c r="F359" s="33"/>
      <c r="G359" s="33"/>
    </row>
    <row r="360" hidden="1">
      <c r="A360" s="33"/>
      <c r="F360" s="33"/>
      <c r="G360" s="33"/>
    </row>
    <row r="361" hidden="1">
      <c r="A361" s="33"/>
      <c r="F361" s="33"/>
      <c r="G361" s="33"/>
    </row>
    <row r="362" hidden="1">
      <c r="A362" s="33"/>
      <c r="F362" s="33"/>
      <c r="G362" s="33"/>
    </row>
    <row r="363" hidden="1">
      <c r="A363" s="33"/>
      <c r="F363" s="33"/>
      <c r="G363" s="33"/>
    </row>
    <row r="364" hidden="1">
      <c r="A364" s="33"/>
      <c r="F364" s="33"/>
      <c r="G364" s="33"/>
    </row>
    <row r="365" hidden="1">
      <c r="A365" s="33"/>
      <c r="F365" s="33"/>
      <c r="G365" s="33"/>
    </row>
    <row r="366" hidden="1">
      <c r="A366" s="33"/>
      <c r="F366" s="33"/>
      <c r="G366" s="33"/>
    </row>
    <row r="367" hidden="1">
      <c r="A367" s="33"/>
      <c r="F367" s="33"/>
      <c r="G367" s="33"/>
    </row>
    <row r="368" hidden="1">
      <c r="A368" s="33"/>
      <c r="F368" s="33"/>
      <c r="G368" s="33"/>
    </row>
    <row r="369" hidden="1">
      <c r="A369" s="33"/>
      <c r="F369" s="33"/>
      <c r="G369" s="33"/>
    </row>
    <row r="370" hidden="1">
      <c r="A370" s="33"/>
      <c r="F370" s="33"/>
      <c r="G370" s="33"/>
    </row>
    <row r="371" hidden="1">
      <c r="A371" s="33"/>
      <c r="F371" s="33"/>
      <c r="G371" s="33"/>
    </row>
    <row r="372" hidden="1">
      <c r="A372" s="33"/>
      <c r="F372" s="33"/>
      <c r="G372" s="33"/>
    </row>
    <row r="373" hidden="1">
      <c r="A373" s="33"/>
      <c r="F373" s="33"/>
      <c r="G373" s="33"/>
    </row>
    <row r="374" hidden="1">
      <c r="A374" s="33"/>
      <c r="F374" s="33"/>
      <c r="G374" s="33"/>
    </row>
    <row r="375" hidden="1">
      <c r="A375" s="33"/>
      <c r="F375" s="33"/>
      <c r="G375" s="33"/>
    </row>
    <row r="376" hidden="1">
      <c r="A376" s="33"/>
      <c r="F376" s="33"/>
      <c r="G376" s="33"/>
    </row>
    <row r="377" hidden="1">
      <c r="A377" s="33"/>
      <c r="F377" s="33"/>
      <c r="G377" s="33"/>
    </row>
    <row r="378" hidden="1">
      <c r="A378" s="33"/>
      <c r="F378" s="33"/>
      <c r="G378" s="33"/>
    </row>
    <row r="379" hidden="1">
      <c r="A379" s="33"/>
      <c r="F379" s="33"/>
      <c r="G379" s="33"/>
    </row>
    <row r="380" hidden="1">
      <c r="A380" s="33"/>
      <c r="F380" s="33"/>
      <c r="G380" s="33"/>
    </row>
    <row r="381" hidden="1">
      <c r="A381" s="33"/>
      <c r="F381" s="33"/>
      <c r="G381" s="33"/>
    </row>
    <row r="382" hidden="1">
      <c r="A382" s="33"/>
      <c r="F382" s="33"/>
      <c r="G382" s="33"/>
    </row>
    <row r="383" hidden="1">
      <c r="A383" s="33"/>
      <c r="F383" s="33"/>
      <c r="G383" s="33"/>
    </row>
    <row r="384" hidden="1">
      <c r="A384" s="33"/>
      <c r="F384" s="33"/>
      <c r="G384" s="33"/>
    </row>
    <row r="385" hidden="1">
      <c r="A385" s="33"/>
      <c r="F385" s="33"/>
      <c r="G385" s="33"/>
    </row>
    <row r="386" hidden="1">
      <c r="A386" s="33"/>
      <c r="F386" s="33"/>
      <c r="G386" s="33"/>
    </row>
    <row r="387" hidden="1">
      <c r="A387" s="33"/>
      <c r="F387" s="33"/>
      <c r="G387" s="33"/>
    </row>
    <row r="388" hidden="1">
      <c r="A388" s="33"/>
      <c r="F388" s="33"/>
      <c r="G388" s="33"/>
    </row>
    <row r="389" hidden="1">
      <c r="A389" s="33"/>
      <c r="F389" s="33"/>
      <c r="G389" s="33"/>
    </row>
    <row r="390" hidden="1">
      <c r="A390" s="33"/>
      <c r="F390" s="33"/>
      <c r="G390" s="33"/>
    </row>
    <row r="391" hidden="1">
      <c r="A391" s="33"/>
      <c r="F391" s="33"/>
      <c r="G391" s="33"/>
    </row>
    <row r="392" hidden="1">
      <c r="A392" s="33"/>
      <c r="F392" s="33"/>
      <c r="G392" s="33"/>
    </row>
    <row r="393" hidden="1">
      <c r="A393" s="33"/>
      <c r="F393" s="33"/>
      <c r="G393" s="33"/>
    </row>
    <row r="394" hidden="1">
      <c r="A394" s="33"/>
      <c r="F394" s="33"/>
      <c r="G394" s="33"/>
    </row>
    <row r="395" hidden="1">
      <c r="A395" s="33"/>
      <c r="F395" s="33"/>
      <c r="G395" s="33"/>
    </row>
    <row r="396" hidden="1">
      <c r="A396" s="33"/>
      <c r="F396" s="33"/>
      <c r="G396" s="33"/>
    </row>
    <row r="397" hidden="1">
      <c r="A397" s="33"/>
      <c r="F397" s="33"/>
      <c r="G397" s="33"/>
    </row>
    <row r="398" hidden="1">
      <c r="A398" s="33"/>
      <c r="F398" s="33"/>
      <c r="G398" s="33"/>
    </row>
    <row r="399" hidden="1">
      <c r="A399" s="33"/>
      <c r="F399" s="33"/>
      <c r="G399" s="33"/>
    </row>
    <row r="400" hidden="1">
      <c r="A400" s="33"/>
      <c r="F400" s="33"/>
      <c r="G400" s="33"/>
    </row>
    <row r="401" hidden="1">
      <c r="A401" s="33"/>
      <c r="F401" s="33"/>
      <c r="G401" s="33"/>
    </row>
    <row r="402" hidden="1">
      <c r="A402" s="33"/>
      <c r="F402" s="33"/>
      <c r="G402" s="33"/>
    </row>
    <row r="403" hidden="1">
      <c r="A403" s="33"/>
      <c r="F403" s="33"/>
      <c r="G403" s="33"/>
    </row>
    <row r="404" hidden="1">
      <c r="A404" s="33"/>
      <c r="F404" s="33"/>
      <c r="G404" s="33"/>
    </row>
    <row r="405" hidden="1">
      <c r="A405" s="33"/>
      <c r="F405" s="33"/>
      <c r="G405" s="33"/>
    </row>
    <row r="406" hidden="1">
      <c r="A406" s="33"/>
      <c r="F406" s="33"/>
      <c r="G406" s="33"/>
    </row>
    <row r="407" hidden="1">
      <c r="A407" s="33"/>
      <c r="F407" s="33"/>
      <c r="G407" s="33"/>
    </row>
    <row r="408" hidden="1">
      <c r="A408" s="33"/>
      <c r="F408" s="33"/>
      <c r="G408" s="33"/>
    </row>
    <row r="409" hidden="1">
      <c r="A409" s="33"/>
      <c r="F409" s="33"/>
      <c r="G409" s="33"/>
    </row>
    <row r="410" hidden="1">
      <c r="A410" s="33"/>
      <c r="F410" s="33"/>
      <c r="G410" s="33"/>
    </row>
    <row r="411" hidden="1">
      <c r="A411" s="33"/>
      <c r="F411" s="33"/>
      <c r="G411" s="33"/>
    </row>
    <row r="412" hidden="1">
      <c r="A412" s="33"/>
      <c r="F412" s="33"/>
      <c r="G412" s="33"/>
    </row>
    <row r="413" hidden="1">
      <c r="A413" s="33"/>
      <c r="F413" s="33"/>
      <c r="G413" s="33"/>
    </row>
    <row r="414" hidden="1">
      <c r="A414" s="33"/>
      <c r="F414" s="33"/>
      <c r="G414" s="33"/>
    </row>
    <row r="415" hidden="1">
      <c r="A415" s="33"/>
      <c r="F415" s="33"/>
      <c r="G415" s="33"/>
    </row>
    <row r="416" hidden="1">
      <c r="A416" s="33"/>
      <c r="F416" s="33"/>
      <c r="G416" s="33"/>
    </row>
    <row r="417" hidden="1">
      <c r="A417" s="33"/>
      <c r="F417" s="33"/>
      <c r="G417" s="33"/>
    </row>
    <row r="418" hidden="1">
      <c r="A418" s="33"/>
      <c r="F418" s="33"/>
      <c r="G418" s="33"/>
    </row>
    <row r="419" hidden="1">
      <c r="A419" s="33"/>
      <c r="F419" s="33"/>
      <c r="G419" s="33"/>
    </row>
    <row r="420" hidden="1">
      <c r="A420" s="33"/>
      <c r="F420" s="33"/>
      <c r="G420" s="33"/>
    </row>
    <row r="421" hidden="1">
      <c r="A421" s="33"/>
      <c r="F421" s="33"/>
      <c r="G421" s="33"/>
    </row>
    <row r="422" hidden="1">
      <c r="A422" s="33"/>
      <c r="F422" s="33"/>
      <c r="G422" s="33"/>
    </row>
    <row r="423" hidden="1">
      <c r="A423" s="33"/>
      <c r="F423" s="33"/>
      <c r="G423" s="33"/>
    </row>
    <row r="424" hidden="1">
      <c r="A424" s="33"/>
      <c r="F424" s="33"/>
      <c r="G424" s="33"/>
    </row>
    <row r="425" hidden="1">
      <c r="A425" s="33"/>
      <c r="F425" s="33"/>
      <c r="G425" s="33"/>
    </row>
    <row r="426" hidden="1">
      <c r="A426" s="33"/>
      <c r="F426" s="33"/>
      <c r="G426" s="33"/>
    </row>
    <row r="427" hidden="1">
      <c r="A427" s="33"/>
      <c r="F427" s="33"/>
      <c r="G427" s="33"/>
    </row>
    <row r="428" hidden="1">
      <c r="A428" s="33"/>
      <c r="F428" s="33"/>
      <c r="G428" s="33"/>
    </row>
    <row r="429" hidden="1">
      <c r="A429" s="33"/>
      <c r="F429" s="33"/>
      <c r="G429" s="33"/>
    </row>
    <row r="430" hidden="1">
      <c r="A430" s="33"/>
      <c r="F430" s="33"/>
      <c r="G430" s="33"/>
    </row>
    <row r="431" hidden="1">
      <c r="A431" s="33"/>
      <c r="F431" s="33"/>
      <c r="G431" s="33"/>
    </row>
    <row r="432" hidden="1">
      <c r="A432" s="33"/>
      <c r="F432" s="33"/>
      <c r="G432" s="33"/>
    </row>
    <row r="433" hidden="1">
      <c r="A433" s="33"/>
      <c r="F433" s="33"/>
      <c r="G433" s="33"/>
    </row>
    <row r="434" hidden="1">
      <c r="A434" s="33"/>
      <c r="F434" s="33"/>
      <c r="G434" s="33"/>
    </row>
    <row r="435" hidden="1">
      <c r="A435" s="33"/>
      <c r="F435" s="33"/>
      <c r="G435" s="33"/>
    </row>
    <row r="436" hidden="1">
      <c r="A436" s="33"/>
      <c r="F436" s="33"/>
      <c r="G436" s="33"/>
    </row>
    <row r="437" hidden="1">
      <c r="A437" s="33"/>
      <c r="F437" s="33"/>
      <c r="G437" s="33"/>
    </row>
    <row r="438" hidden="1">
      <c r="A438" s="33"/>
      <c r="F438" s="33"/>
      <c r="G438" s="33"/>
    </row>
    <row r="439" hidden="1">
      <c r="A439" s="33"/>
      <c r="F439" s="33"/>
      <c r="G439" s="33"/>
    </row>
    <row r="440" hidden="1">
      <c r="A440" s="33"/>
      <c r="F440" s="33"/>
      <c r="G440" s="33"/>
    </row>
    <row r="441" hidden="1">
      <c r="A441" s="33"/>
      <c r="F441" s="33"/>
      <c r="G441" s="33"/>
    </row>
    <row r="442" hidden="1">
      <c r="A442" s="33"/>
      <c r="F442" s="33"/>
      <c r="G442" s="33"/>
    </row>
    <row r="443" hidden="1">
      <c r="A443" s="33"/>
      <c r="F443" s="33"/>
      <c r="G443" s="33"/>
    </row>
    <row r="444" hidden="1">
      <c r="A444" s="33"/>
      <c r="F444" s="33"/>
      <c r="G444" s="33"/>
    </row>
    <row r="445" hidden="1">
      <c r="A445" s="33"/>
      <c r="F445" s="33"/>
      <c r="G445" s="33"/>
    </row>
    <row r="446" hidden="1">
      <c r="A446" s="33"/>
      <c r="F446" s="33"/>
      <c r="G446" s="33"/>
    </row>
    <row r="447" hidden="1">
      <c r="A447" s="33"/>
      <c r="F447" s="33"/>
      <c r="G447" s="33"/>
    </row>
    <row r="448" hidden="1">
      <c r="A448" s="33"/>
      <c r="F448" s="33"/>
      <c r="G448" s="33"/>
    </row>
    <row r="449" hidden="1">
      <c r="A449" s="33"/>
      <c r="F449" s="33"/>
      <c r="G449" s="33"/>
    </row>
    <row r="450" hidden="1">
      <c r="A450" s="33"/>
      <c r="F450" s="33"/>
      <c r="G450" s="33"/>
    </row>
    <row r="451" hidden="1">
      <c r="A451" s="33"/>
      <c r="F451" s="33"/>
      <c r="G451" s="33"/>
    </row>
    <row r="452" hidden="1">
      <c r="A452" s="33"/>
      <c r="F452" s="33"/>
      <c r="G452" s="33"/>
    </row>
    <row r="453" hidden="1">
      <c r="A453" s="33"/>
      <c r="F453" s="33"/>
      <c r="G453" s="33"/>
    </row>
    <row r="454" hidden="1">
      <c r="A454" s="33"/>
      <c r="F454" s="33"/>
      <c r="G454" s="33"/>
    </row>
    <row r="455" hidden="1">
      <c r="A455" s="33"/>
      <c r="F455" s="33"/>
      <c r="G455" s="33"/>
    </row>
    <row r="456" hidden="1">
      <c r="A456" s="33"/>
      <c r="F456" s="33"/>
      <c r="G456" s="33"/>
    </row>
    <row r="457" hidden="1">
      <c r="A457" s="33"/>
      <c r="F457" s="33"/>
      <c r="G457" s="33"/>
    </row>
    <row r="458" hidden="1">
      <c r="A458" s="33"/>
      <c r="F458" s="33"/>
      <c r="G458" s="33"/>
    </row>
    <row r="459" hidden="1">
      <c r="A459" s="33"/>
      <c r="F459" s="33"/>
      <c r="G459" s="33"/>
    </row>
    <row r="460" hidden="1">
      <c r="A460" s="33"/>
      <c r="F460" s="33"/>
      <c r="G460" s="33"/>
    </row>
    <row r="461" hidden="1">
      <c r="A461" s="33"/>
      <c r="F461" s="33"/>
      <c r="G461" s="33"/>
    </row>
    <row r="462" hidden="1">
      <c r="A462" s="33"/>
      <c r="F462" s="33"/>
      <c r="G462" s="33"/>
    </row>
    <row r="463" hidden="1">
      <c r="A463" s="33"/>
      <c r="F463" s="33"/>
      <c r="G463" s="33"/>
    </row>
    <row r="464" hidden="1">
      <c r="A464" s="33"/>
      <c r="F464" s="33"/>
      <c r="G464" s="33"/>
    </row>
    <row r="465" hidden="1">
      <c r="A465" s="33"/>
      <c r="F465" s="33"/>
      <c r="G465" s="33"/>
    </row>
    <row r="466" hidden="1">
      <c r="A466" s="33"/>
      <c r="F466" s="33"/>
      <c r="G466" s="33"/>
    </row>
    <row r="467" hidden="1">
      <c r="A467" s="33"/>
      <c r="F467" s="33"/>
      <c r="G467" s="33"/>
    </row>
    <row r="468" hidden="1">
      <c r="A468" s="33"/>
      <c r="F468" s="33"/>
      <c r="G468" s="33"/>
    </row>
    <row r="469" hidden="1">
      <c r="A469" s="33"/>
      <c r="F469" s="33"/>
      <c r="G469" s="33"/>
    </row>
    <row r="470" hidden="1">
      <c r="A470" s="33"/>
      <c r="F470" s="33"/>
      <c r="G470" s="33"/>
    </row>
    <row r="471" hidden="1">
      <c r="A471" s="33"/>
      <c r="F471" s="33"/>
      <c r="G471" s="33"/>
    </row>
    <row r="472" hidden="1">
      <c r="A472" s="33"/>
      <c r="F472" s="33"/>
      <c r="G472" s="33"/>
    </row>
    <row r="473" hidden="1">
      <c r="A473" s="33"/>
      <c r="F473" s="33"/>
      <c r="G473" s="33"/>
    </row>
    <row r="474" hidden="1">
      <c r="A474" s="33"/>
      <c r="F474" s="33"/>
      <c r="G474" s="33"/>
    </row>
    <row r="475" hidden="1">
      <c r="A475" s="33"/>
      <c r="F475" s="33"/>
      <c r="G475" s="33"/>
    </row>
    <row r="476" hidden="1">
      <c r="A476" s="33"/>
      <c r="F476" s="33"/>
      <c r="G476" s="33"/>
    </row>
    <row r="477" hidden="1">
      <c r="A477" s="33"/>
      <c r="F477" s="33"/>
      <c r="G477" s="33"/>
    </row>
    <row r="478" hidden="1">
      <c r="A478" s="33"/>
      <c r="F478" s="33"/>
      <c r="G478" s="33"/>
    </row>
    <row r="479" hidden="1">
      <c r="A479" s="33"/>
      <c r="F479" s="33"/>
      <c r="G479" s="33"/>
    </row>
    <row r="480" hidden="1">
      <c r="A480" s="33"/>
      <c r="F480" s="33"/>
      <c r="G480" s="33"/>
    </row>
    <row r="481" hidden="1">
      <c r="A481" s="33"/>
      <c r="F481" s="33"/>
      <c r="G481" s="33"/>
    </row>
    <row r="482" hidden="1">
      <c r="A482" s="33"/>
      <c r="F482" s="33"/>
      <c r="G482" s="33"/>
    </row>
    <row r="483" hidden="1">
      <c r="A483" s="33"/>
      <c r="F483" s="33"/>
      <c r="G483" s="33"/>
    </row>
    <row r="484" hidden="1">
      <c r="A484" s="33"/>
      <c r="F484" s="33"/>
      <c r="G484" s="33"/>
    </row>
    <row r="485" hidden="1">
      <c r="A485" s="33"/>
      <c r="F485" s="33"/>
      <c r="G485" s="33"/>
    </row>
    <row r="486" hidden="1">
      <c r="A486" s="33"/>
      <c r="F486" s="33"/>
      <c r="G486" s="33"/>
    </row>
    <row r="487" hidden="1">
      <c r="A487" s="33"/>
      <c r="F487" s="33"/>
      <c r="G487" s="33"/>
    </row>
    <row r="488" hidden="1">
      <c r="A488" s="33"/>
      <c r="F488" s="33"/>
      <c r="G488" s="33"/>
    </row>
    <row r="489" hidden="1">
      <c r="A489" s="33"/>
      <c r="F489" s="33"/>
      <c r="G489" s="33"/>
    </row>
    <row r="490" hidden="1">
      <c r="A490" s="33"/>
      <c r="F490" s="33"/>
      <c r="G490" s="33"/>
    </row>
    <row r="491" hidden="1">
      <c r="A491" s="33"/>
      <c r="F491" s="33"/>
      <c r="G491" s="33"/>
    </row>
    <row r="492" hidden="1">
      <c r="A492" s="33"/>
      <c r="F492" s="33"/>
      <c r="G492" s="33"/>
    </row>
    <row r="493" hidden="1">
      <c r="A493" s="33"/>
      <c r="F493" s="33"/>
      <c r="G493" s="33"/>
    </row>
    <row r="494" hidden="1">
      <c r="A494" s="33"/>
      <c r="F494" s="33"/>
      <c r="G494" s="33"/>
    </row>
    <row r="495" hidden="1">
      <c r="A495" s="33"/>
      <c r="F495" s="33"/>
      <c r="G495" s="33"/>
    </row>
    <row r="496" hidden="1">
      <c r="A496" s="33"/>
      <c r="F496" s="33"/>
      <c r="G496" s="33"/>
    </row>
    <row r="497" hidden="1">
      <c r="A497" s="33"/>
      <c r="F497" s="33"/>
      <c r="G497" s="33"/>
    </row>
    <row r="498" hidden="1">
      <c r="A498" s="33"/>
      <c r="F498" s="33"/>
      <c r="G498" s="33"/>
    </row>
    <row r="499" hidden="1">
      <c r="A499" s="33"/>
      <c r="F499" s="33"/>
      <c r="G499" s="33"/>
    </row>
    <row r="500" hidden="1">
      <c r="A500" s="33"/>
      <c r="F500" s="33"/>
      <c r="G500" s="33"/>
    </row>
    <row r="501" hidden="1">
      <c r="A501" s="33"/>
      <c r="F501" s="33"/>
      <c r="G501" s="33"/>
    </row>
    <row r="502" hidden="1">
      <c r="A502" s="33"/>
      <c r="F502" s="33"/>
      <c r="G502" s="33"/>
    </row>
    <row r="503" hidden="1">
      <c r="A503" s="33"/>
      <c r="F503" s="33"/>
      <c r="G503" s="33"/>
    </row>
    <row r="504" hidden="1">
      <c r="A504" s="33"/>
      <c r="F504" s="33"/>
      <c r="G504" s="33"/>
    </row>
    <row r="505" hidden="1">
      <c r="A505" s="33"/>
      <c r="F505" s="33"/>
      <c r="G505" s="33"/>
    </row>
    <row r="506" hidden="1">
      <c r="A506" s="33"/>
      <c r="F506" s="33"/>
      <c r="G506" s="33"/>
    </row>
    <row r="507" hidden="1">
      <c r="A507" s="33"/>
      <c r="F507" s="33"/>
      <c r="G507" s="33"/>
    </row>
    <row r="508" hidden="1">
      <c r="A508" s="33"/>
      <c r="F508" s="33"/>
      <c r="G508" s="33"/>
    </row>
    <row r="509" hidden="1">
      <c r="A509" s="33"/>
      <c r="F509" s="33"/>
      <c r="G509" s="33"/>
    </row>
    <row r="510" hidden="1">
      <c r="A510" s="33"/>
      <c r="F510" s="33"/>
      <c r="G510" s="33"/>
    </row>
    <row r="511" hidden="1">
      <c r="A511" s="33"/>
      <c r="F511" s="33"/>
      <c r="G511" s="33"/>
    </row>
    <row r="512" hidden="1">
      <c r="A512" s="33"/>
      <c r="F512" s="33"/>
      <c r="G512" s="33"/>
    </row>
    <row r="513" hidden="1">
      <c r="A513" s="33"/>
      <c r="F513" s="33"/>
      <c r="G513" s="33"/>
    </row>
    <row r="514" hidden="1">
      <c r="A514" s="33"/>
      <c r="F514" s="33"/>
      <c r="G514" s="33"/>
    </row>
    <row r="515" hidden="1">
      <c r="A515" s="33"/>
      <c r="F515" s="33"/>
      <c r="G515" s="33"/>
    </row>
    <row r="516" hidden="1">
      <c r="A516" s="33"/>
      <c r="F516" s="33"/>
      <c r="G516" s="33"/>
    </row>
    <row r="517" hidden="1">
      <c r="A517" s="33"/>
      <c r="F517" s="33"/>
      <c r="G517" s="33"/>
    </row>
    <row r="518" hidden="1">
      <c r="A518" s="33"/>
      <c r="F518" s="33"/>
      <c r="G518" s="33"/>
    </row>
    <row r="519" hidden="1">
      <c r="A519" s="33"/>
      <c r="F519" s="33"/>
      <c r="G519" s="33"/>
    </row>
    <row r="520" hidden="1">
      <c r="A520" s="33"/>
      <c r="F520" s="33"/>
      <c r="G520" s="33"/>
    </row>
    <row r="521" hidden="1">
      <c r="A521" s="33"/>
      <c r="F521" s="33"/>
      <c r="G521" s="33"/>
    </row>
    <row r="522" hidden="1">
      <c r="A522" s="33"/>
      <c r="F522" s="33"/>
      <c r="G522" s="33"/>
    </row>
    <row r="523" hidden="1">
      <c r="A523" s="33"/>
      <c r="F523" s="33"/>
      <c r="G523" s="33"/>
    </row>
    <row r="524" hidden="1">
      <c r="A524" s="33"/>
      <c r="F524" s="33"/>
      <c r="G524" s="33"/>
    </row>
    <row r="525" hidden="1">
      <c r="A525" s="33"/>
      <c r="F525" s="33"/>
      <c r="G525" s="33"/>
    </row>
    <row r="526" hidden="1">
      <c r="A526" s="33"/>
      <c r="F526" s="33"/>
      <c r="G526" s="33"/>
    </row>
    <row r="527" hidden="1">
      <c r="A527" s="33"/>
      <c r="F527" s="33"/>
      <c r="G527" s="33"/>
    </row>
    <row r="528" hidden="1">
      <c r="A528" s="33"/>
      <c r="F528" s="33"/>
      <c r="G528" s="33"/>
    </row>
    <row r="529" hidden="1">
      <c r="A529" s="33"/>
      <c r="F529" s="33"/>
      <c r="G529" s="33"/>
    </row>
    <row r="530" hidden="1">
      <c r="A530" s="33"/>
      <c r="F530" s="33"/>
      <c r="G530" s="33"/>
    </row>
    <row r="531" hidden="1">
      <c r="A531" s="33"/>
      <c r="F531" s="33"/>
      <c r="G531" s="33"/>
    </row>
    <row r="532" hidden="1">
      <c r="A532" s="33"/>
      <c r="F532" s="33"/>
      <c r="G532" s="33"/>
    </row>
    <row r="533" hidden="1">
      <c r="A533" s="33"/>
      <c r="F533" s="33"/>
      <c r="G533" s="33"/>
    </row>
    <row r="534" hidden="1">
      <c r="A534" s="33"/>
      <c r="F534" s="33"/>
      <c r="G534" s="33"/>
    </row>
    <row r="535" hidden="1">
      <c r="A535" s="33"/>
      <c r="F535" s="33"/>
      <c r="G535" s="33"/>
    </row>
    <row r="536" hidden="1">
      <c r="A536" s="33"/>
      <c r="F536" s="33"/>
      <c r="G536" s="33"/>
    </row>
    <row r="537" hidden="1">
      <c r="A537" s="33"/>
      <c r="F537" s="33"/>
      <c r="G537" s="33"/>
    </row>
    <row r="538" hidden="1">
      <c r="A538" s="33"/>
      <c r="F538" s="33"/>
      <c r="G538" s="33"/>
    </row>
    <row r="539" hidden="1">
      <c r="A539" s="33"/>
      <c r="F539" s="33"/>
      <c r="G539" s="33"/>
    </row>
    <row r="540" hidden="1">
      <c r="A540" s="33"/>
      <c r="F540" s="33"/>
      <c r="G540" s="33"/>
    </row>
    <row r="541" hidden="1">
      <c r="A541" s="33"/>
      <c r="F541" s="33"/>
      <c r="G541" s="33"/>
    </row>
    <row r="542" hidden="1">
      <c r="A542" s="33"/>
      <c r="F542" s="33"/>
      <c r="G542" s="33"/>
    </row>
    <row r="543" hidden="1">
      <c r="A543" s="33"/>
      <c r="F543" s="33"/>
      <c r="G543" s="33"/>
    </row>
    <row r="544" hidden="1">
      <c r="A544" s="33"/>
      <c r="F544" s="33"/>
      <c r="G544" s="33"/>
    </row>
    <row r="545" hidden="1">
      <c r="A545" s="33"/>
      <c r="F545" s="33"/>
      <c r="G545" s="33"/>
    </row>
    <row r="546" hidden="1">
      <c r="A546" s="33"/>
      <c r="F546" s="33"/>
      <c r="G546" s="33"/>
    </row>
    <row r="547" hidden="1">
      <c r="A547" s="33"/>
      <c r="F547" s="33"/>
      <c r="G547" s="33"/>
    </row>
    <row r="548" hidden="1">
      <c r="A548" s="33"/>
      <c r="F548" s="33"/>
      <c r="G548" s="33"/>
    </row>
    <row r="549" hidden="1">
      <c r="A549" s="33"/>
      <c r="F549" s="33"/>
      <c r="G549" s="33"/>
    </row>
    <row r="550" hidden="1">
      <c r="A550" s="33"/>
      <c r="F550" s="33"/>
      <c r="G550" s="33"/>
    </row>
    <row r="551" hidden="1">
      <c r="A551" s="33"/>
      <c r="F551" s="33"/>
      <c r="G551" s="33"/>
    </row>
    <row r="552" hidden="1">
      <c r="A552" s="33"/>
      <c r="F552" s="33"/>
      <c r="G552" s="33"/>
    </row>
    <row r="553" hidden="1">
      <c r="A553" s="33"/>
      <c r="F553" s="33"/>
      <c r="G553" s="33"/>
    </row>
    <row r="554" hidden="1">
      <c r="A554" s="33"/>
      <c r="F554" s="33"/>
      <c r="G554" s="33"/>
    </row>
    <row r="555" hidden="1">
      <c r="A555" s="33"/>
      <c r="F555" s="33"/>
      <c r="G555" s="33"/>
    </row>
    <row r="556" hidden="1">
      <c r="A556" s="33"/>
      <c r="F556" s="33"/>
      <c r="G556" s="33"/>
    </row>
    <row r="557" hidden="1">
      <c r="A557" s="33"/>
      <c r="F557" s="33"/>
      <c r="G557" s="33"/>
    </row>
    <row r="558" hidden="1">
      <c r="A558" s="33"/>
      <c r="F558" s="33"/>
      <c r="G558" s="33"/>
    </row>
    <row r="559" hidden="1">
      <c r="A559" s="33"/>
      <c r="F559" s="33"/>
      <c r="G559" s="33"/>
    </row>
    <row r="560" hidden="1">
      <c r="A560" s="33"/>
      <c r="F560" s="33"/>
      <c r="G560" s="33"/>
    </row>
    <row r="561" hidden="1">
      <c r="A561" s="33"/>
      <c r="F561" s="33"/>
      <c r="G561" s="33"/>
    </row>
    <row r="562" hidden="1">
      <c r="A562" s="33"/>
      <c r="F562" s="33"/>
      <c r="G562" s="33"/>
    </row>
    <row r="563" hidden="1">
      <c r="A563" s="33"/>
      <c r="F563" s="33"/>
      <c r="G563" s="33"/>
    </row>
    <row r="564" hidden="1">
      <c r="A564" s="33"/>
      <c r="F564" s="33"/>
      <c r="G564" s="33"/>
    </row>
    <row r="565" hidden="1">
      <c r="A565" s="33"/>
      <c r="F565" s="33"/>
      <c r="G565" s="33"/>
    </row>
    <row r="566" hidden="1">
      <c r="A566" s="33"/>
      <c r="F566" s="33"/>
      <c r="G566" s="33"/>
    </row>
    <row r="567" hidden="1">
      <c r="A567" s="33"/>
      <c r="F567" s="33"/>
      <c r="G567" s="33"/>
    </row>
    <row r="568" hidden="1">
      <c r="A568" s="33"/>
      <c r="F568" s="33"/>
      <c r="G568" s="33"/>
    </row>
    <row r="569" hidden="1">
      <c r="A569" s="33"/>
      <c r="F569" s="33"/>
      <c r="G569" s="33"/>
    </row>
    <row r="570" hidden="1">
      <c r="A570" s="33"/>
      <c r="F570" s="33"/>
      <c r="G570" s="33"/>
    </row>
    <row r="571" hidden="1">
      <c r="A571" s="33"/>
      <c r="F571" s="33"/>
      <c r="G571" s="33"/>
    </row>
    <row r="572" hidden="1">
      <c r="A572" s="33"/>
      <c r="F572" s="33"/>
      <c r="G572" s="33"/>
    </row>
    <row r="573" hidden="1">
      <c r="A573" s="33"/>
      <c r="F573" s="33"/>
      <c r="G573" s="33"/>
    </row>
    <row r="574" hidden="1">
      <c r="A574" s="33"/>
      <c r="F574" s="33"/>
      <c r="G574" s="33"/>
    </row>
    <row r="575" hidden="1">
      <c r="A575" s="33"/>
      <c r="F575" s="33"/>
      <c r="G575" s="33"/>
    </row>
    <row r="576" hidden="1">
      <c r="A576" s="33"/>
      <c r="F576" s="33"/>
      <c r="G576" s="33"/>
    </row>
    <row r="577" hidden="1">
      <c r="A577" s="33"/>
      <c r="F577" s="33"/>
      <c r="G577" s="33"/>
    </row>
    <row r="578" hidden="1">
      <c r="A578" s="33"/>
      <c r="F578" s="33"/>
      <c r="G578" s="33"/>
    </row>
    <row r="579" hidden="1">
      <c r="A579" s="33"/>
      <c r="F579" s="33"/>
      <c r="G579" s="33"/>
    </row>
    <row r="580" hidden="1">
      <c r="A580" s="33"/>
      <c r="F580" s="33"/>
      <c r="G580" s="33"/>
    </row>
    <row r="581" hidden="1">
      <c r="A581" s="33"/>
      <c r="F581" s="33"/>
      <c r="G581" s="33"/>
    </row>
    <row r="582" hidden="1">
      <c r="A582" s="33"/>
      <c r="F582" s="33"/>
      <c r="G582" s="33"/>
    </row>
    <row r="583" hidden="1">
      <c r="A583" s="33"/>
      <c r="F583" s="33"/>
      <c r="G583" s="33"/>
    </row>
    <row r="584" hidden="1">
      <c r="A584" s="33"/>
      <c r="F584" s="33"/>
      <c r="G584" s="33"/>
    </row>
    <row r="585" hidden="1">
      <c r="A585" s="33"/>
      <c r="F585" s="33"/>
      <c r="G585" s="33"/>
    </row>
    <row r="586" hidden="1">
      <c r="A586" s="33"/>
      <c r="F586" s="33"/>
      <c r="G586" s="33"/>
    </row>
    <row r="587" hidden="1">
      <c r="A587" s="33"/>
      <c r="F587" s="33"/>
      <c r="G587" s="33"/>
    </row>
    <row r="588" hidden="1">
      <c r="A588" s="33"/>
      <c r="F588" s="33"/>
      <c r="G588" s="33"/>
    </row>
    <row r="589" hidden="1">
      <c r="A589" s="33"/>
      <c r="F589" s="33"/>
      <c r="G589" s="33"/>
    </row>
    <row r="590" hidden="1">
      <c r="A590" s="33"/>
      <c r="F590" s="33"/>
      <c r="G590" s="33"/>
    </row>
    <row r="591" hidden="1">
      <c r="A591" s="33"/>
      <c r="F591" s="33"/>
      <c r="G591" s="33"/>
    </row>
    <row r="592" hidden="1">
      <c r="A592" s="33"/>
      <c r="F592" s="33"/>
      <c r="G592" s="33"/>
    </row>
    <row r="593" hidden="1">
      <c r="A593" s="33"/>
      <c r="F593" s="33"/>
      <c r="G593" s="33"/>
    </row>
    <row r="594" hidden="1">
      <c r="A594" s="33"/>
      <c r="F594" s="33"/>
      <c r="G594" s="33"/>
    </row>
    <row r="595" hidden="1">
      <c r="A595" s="33"/>
      <c r="F595" s="33"/>
      <c r="G595" s="33"/>
    </row>
    <row r="596" hidden="1">
      <c r="A596" s="33"/>
      <c r="F596" s="33"/>
      <c r="G596" s="33"/>
    </row>
    <row r="597" hidden="1">
      <c r="A597" s="33"/>
      <c r="F597" s="33"/>
      <c r="G597" s="33"/>
    </row>
    <row r="598" hidden="1">
      <c r="A598" s="33"/>
      <c r="F598" s="33"/>
      <c r="G598" s="33"/>
    </row>
    <row r="599" hidden="1">
      <c r="A599" s="33"/>
      <c r="F599" s="33"/>
      <c r="G599" s="33"/>
    </row>
    <row r="600" hidden="1">
      <c r="A600" s="33"/>
      <c r="F600" s="33"/>
      <c r="G600" s="33"/>
    </row>
    <row r="601" hidden="1">
      <c r="A601" s="33"/>
      <c r="F601" s="33"/>
      <c r="G601" s="33"/>
    </row>
    <row r="602" hidden="1">
      <c r="A602" s="33"/>
      <c r="F602" s="33"/>
      <c r="G602" s="33"/>
    </row>
    <row r="603" hidden="1">
      <c r="A603" s="33"/>
      <c r="F603" s="33"/>
      <c r="G603" s="33"/>
    </row>
    <row r="604" hidden="1">
      <c r="A604" s="33"/>
      <c r="F604" s="33"/>
      <c r="G604" s="33"/>
    </row>
    <row r="605" hidden="1">
      <c r="A605" s="33"/>
      <c r="F605" s="33"/>
      <c r="G605" s="33"/>
    </row>
    <row r="606" hidden="1">
      <c r="A606" s="33"/>
      <c r="F606" s="33"/>
      <c r="G606" s="33"/>
    </row>
    <row r="607" hidden="1">
      <c r="A607" s="33"/>
      <c r="F607" s="33"/>
      <c r="G607" s="33"/>
    </row>
    <row r="608" hidden="1">
      <c r="A608" s="33"/>
      <c r="F608" s="33"/>
      <c r="G608" s="33"/>
    </row>
    <row r="609" hidden="1">
      <c r="A609" s="33"/>
      <c r="F609" s="33"/>
      <c r="G609" s="33"/>
    </row>
    <row r="610" hidden="1">
      <c r="A610" s="33"/>
      <c r="F610" s="33"/>
      <c r="G610" s="33"/>
    </row>
    <row r="611" hidden="1">
      <c r="A611" s="33"/>
      <c r="F611" s="33"/>
      <c r="G611" s="33"/>
    </row>
    <row r="612" hidden="1">
      <c r="A612" s="33"/>
      <c r="F612" s="33"/>
      <c r="G612" s="33"/>
    </row>
    <row r="613" hidden="1">
      <c r="A613" s="33"/>
      <c r="F613" s="33"/>
      <c r="G613" s="33"/>
    </row>
    <row r="614" hidden="1">
      <c r="A614" s="33"/>
      <c r="F614" s="33"/>
      <c r="G614" s="33"/>
    </row>
    <row r="615" hidden="1">
      <c r="A615" s="33"/>
      <c r="F615" s="33"/>
      <c r="G615" s="33"/>
    </row>
    <row r="616" hidden="1">
      <c r="A616" s="33"/>
      <c r="F616" s="33"/>
      <c r="G616" s="33"/>
    </row>
    <row r="617" hidden="1">
      <c r="A617" s="33"/>
      <c r="F617" s="33"/>
      <c r="G617" s="33"/>
    </row>
    <row r="618" hidden="1">
      <c r="A618" s="33"/>
      <c r="F618" s="33"/>
      <c r="G618" s="33"/>
    </row>
    <row r="619" hidden="1">
      <c r="A619" s="33"/>
      <c r="F619" s="33"/>
      <c r="G619" s="33"/>
    </row>
    <row r="620" hidden="1">
      <c r="A620" s="33"/>
      <c r="F620" s="33"/>
      <c r="G620" s="33"/>
    </row>
    <row r="621" hidden="1">
      <c r="A621" s="33"/>
      <c r="F621" s="33"/>
      <c r="G621" s="33"/>
    </row>
    <row r="622" hidden="1">
      <c r="A622" s="33"/>
      <c r="F622" s="33"/>
      <c r="G622" s="33"/>
    </row>
    <row r="623" hidden="1">
      <c r="A623" s="33"/>
      <c r="F623" s="33"/>
      <c r="G623" s="33"/>
    </row>
    <row r="624" hidden="1">
      <c r="A624" s="33"/>
      <c r="F624" s="33"/>
      <c r="G624" s="33"/>
    </row>
    <row r="625" hidden="1">
      <c r="A625" s="33"/>
      <c r="F625" s="33"/>
      <c r="G625" s="33"/>
    </row>
    <row r="626" hidden="1">
      <c r="A626" s="33"/>
      <c r="F626" s="33"/>
      <c r="G626" s="33"/>
    </row>
    <row r="627" hidden="1">
      <c r="A627" s="33"/>
      <c r="F627" s="33"/>
      <c r="G627" s="33"/>
    </row>
    <row r="628" hidden="1">
      <c r="A628" s="33"/>
      <c r="F628" s="33"/>
      <c r="G628" s="33"/>
    </row>
    <row r="629" hidden="1">
      <c r="A629" s="33"/>
      <c r="F629" s="33"/>
      <c r="G629" s="33"/>
    </row>
    <row r="630" hidden="1">
      <c r="A630" s="33"/>
      <c r="F630" s="33"/>
      <c r="G630" s="33"/>
    </row>
    <row r="631" hidden="1">
      <c r="A631" s="33"/>
      <c r="F631" s="33"/>
      <c r="G631" s="33"/>
    </row>
    <row r="632" hidden="1">
      <c r="A632" s="33"/>
      <c r="F632" s="33"/>
      <c r="G632" s="33"/>
    </row>
    <row r="633" hidden="1">
      <c r="A633" s="33"/>
      <c r="F633" s="33"/>
      <c r="G633" s="33"/>
    </row>
    <row r="634" hidden="1">
      <c r="A634" s="33"/>
      <c r="F634" s="33"/>
      <c r="G634" s="33"/>
    </row>
    <row r="635" hidden="1">
      <c r="A635" s="33"/>
      <c r="F635" s="33"/>
      <c r="G635" s="33"/>
    </row>
    <row r="636" hidden="1">
      <c r="A636" s="33"/>
      <c r="F636" s="33"/>
      <c r="G636" s="33"/>
    </row>
    <row r="637" hidden="1">
      <c r="A637" s="33"/>
      <c r="F637" s="33"/>
      <c r="G637" s="33"/>
    </row>
    <row r="638" hidden="1">
      <c r="A638" s="33"/>
      <c r="F638" s="33"/>
      <c r="G638" s="33"/>
    </row>
    <row r="639" hidden="1">
      <c r="A639" s="33"/>
      <c r="F639" s="33"/>
      <c r="G639" s="33"/>
    </row>
    <row r="640" hidden="1">
      <c r="A640" s="33"/>
      <c r="F640" s="33"/>
      <c r="G640" s="33"/>
    </row>
    <row r="641" hidden="1">
      <c r="A641" s="33"/>
      <c r="F641" s="33"/>
      <c r="G641" s="33"/>
    </row>
    <row r="642" hidden="1">
      <c r="A642" s="33"/>
      <c r="F642" s="33"/>
      <c r="G642" s="33"/>
    </row>
    <row r="643" hidden="1">
      <c r="A643" s="33"/>
      <c r="F643" s="33"/>
      <c r="G643" s="33"/>
    </row>
    <row r="644" hidden="1">
      <c r="A644" s="33"/>
      <c r="F644" s="33"/>
      <c r="G644" s="33"/>
    </row>
    <row r="645" hidden="1">
      <c r="A645" s="33"/>
      <c r="F645" s="33"/>
      <c r="G645" s="33"/>
    </row>
    <row r="646" hidden="1">
      <c r="A646" s="33"/>
      <c r="F646" s="33"/>
      <c r="G646" s="33"/>
    </row>
    <row r="647" hidden="1">
      <c r="A647" s="33"/>
      <c r="F647" s="33"/>
      <c r="G647" s="33"/>
    </row>
    <row r="648" hidden="1">
      <c r="A648" s="33"/>
      <c r="F648" s="33"/>
      <c r="G648" s="33"/>
    </row>
    <row r="649" hidden="1">
      <c r="A649" s="33"/>
      <c r="F649" s="33"/>
      <c r="G649" s="33"/>
    </row>
    <row r="650" hidden="1">
      <c r="A650" s="33"/>
      <c r="F650" s="33"/>
      <c r="G650" s="33"/>
    </row>
    <row r="651" hidden="1">
      <c r="A651" s="33"/>
      <c r="F651" s="33"/>
      <c r="G651" s="33"/>
    </row>
    <row r="652" hidden="1">
      <c r="A652" s="33"/>
      <c r="F652" s="33"/>
      <c r="G652" s="33"/>
    </row>
    <row r="653" hidden="1">
      <c r="A653" s="33"/>
      <c r="F653" s="33"/>
      <c r="G653" s="33"/>
    </row>
    <row r="654" hidden="1">
      <c r="A654" s="33"/>
      <c r="F654" s="33"/>
      <c r="G654" s="33"/>
    </row>
    <row r="655" hidden="1">
      <c r="A655" s="33"/>
      <c r="F655" s="33"/>
      <c r="G655" s="33"/>
    </row>
    <row r="656" hidden="1">
      <c r="A656" s="33"/>
      <c r="F656" s="33"/>
      <c r="G656" s="33"/>
    </row>
    <row r="657" hidden="1">
      <c r="A657" s="33"/>
      <c r="F657" s="33"/>
      <c r="G657" s="33"/>
    </row>
    <row r="658" hidden="1">
      <c r="A658" s="33"/>
      <c r="F658" s="33"/>
      <c r="G658" s="33"/>
    </row>
    <row r="659" hidden="1">
      <c r="A659" s="33"/>
      <c r="F659" s="33"/>
      <c r="G659" s="33"/>
    </row>
    <row r="660" hidden="1">
      <c r="A660" s="33"/>
      <c r="F660" s="33"/>
      <c r="G660" s="33"/>
    </row>
    <row r="661" hidden="1">
      <c r="A661" s="33"/>
      <c r="F661" s="33"/>
      <c r="G661" s="33"/>
    </row>
    <row r="662" hidden="1">
      <c r="A662" s="33"/>
      <c r="F662" s="33"/>
      <c r="G662" s="33"/>
    </row>
    <row r="663" hidden="1">
      <c r="A663" s="33"/>
      <c r="F663" s="33"/>
      <c r="G663" s="33"/>
    </row>
    <row r="664" hidden="1">
      <c r="A664" s="33"/>
      <c r="F664" s="33"/>
      <c r="G664" s="33"/>
    </row>
    <row r="665" hidden="1">
      <c r="A665" s="33"/>
      <c r="F665" s="33"/>
      <c r="G665" s="33"/>
    </row>
    <row r="666" hidden="1">
      <c r="A666" s="33"/>
      <c r="F666" s="33"/>
      <c r="G666" s="33"/>
    </row>
    <row r="667" hidden="1">
      <c r="A667" s="33"/>
      <c r="F667" s="33"/>
      <c r="G667" s="33"/>
    </row>
    <row r="668" hidden="1">
      <c r="A668" s="33"/>
      <c r="F668" s="33"/>
      <c r="G668" s="33"/>
    </row>
    <row r="669" hidden="1">
      <c r="A669" s="33"/>
      <c r="F669" s="33"/>
      <c r="G669" s="33"/>
    </row>
    <row r="670" hidden="1">
      <c r="A670" s="33"/>
      <c r="F670" s="33"/>
      <c r="G670" s="33"/>
    </row>
    <row r="671" hidden="1">
      <c r="A671" s="33"/>
      <c r="F671" s="33"/>
      <c r="G671" s="33"/>
    </row>
    <row r="672" hidden="1">
      <c r="A672" s="33"/>
      <c r="F672" s="33"/>
      <c r="G672" s="33"/>
    </row>
    <row r="673" hidden="1">
      <c r="A673" s="33"/>
      <c r="F673" s="33"/>
      <c r="G673" s="33"/>
    </row>
    <row r="674" hidden="1">
      <c r="A674" s="33"/>
      <c r="F674" s="33"/>
      <c r="G674" s="33"/>
    </row>
    <row r="675" hidden="1">
      <c r="A675" s="33"/>
      <c r="F675" s="33"/>
      <c r="G675" s="33"/>
    </row>
    <row r="676" hidden="1">
      <c r="A676" s="33"/>
      <c r="F676" s="33"/>
      <c r="G676" s="33"/>
    </row>
    <row r="677" hidden="1">
      <c r="A677" s="33"/>
      <c r="F677" s="33"/>
      <c r="G677" s="33"/>
    </row>
    <row r="678" hidden="1">
      <c r="A678" s="33"/>
      <c r="F678" s="33"/>
      <c r="G678" s="33"/>
    </row>
    <row r="679" hidden="1">
      <c r="A679" s="33"/>
      <c r="F679" s="33"/>
      <c r="G679" s="33"/>
    </row>
    <row r="680" hidden="1">
      <c r="A680" s="33"/>
      <c r="F680" s="33"/>
      <c r="G680" s="33"/>
    </row>
    <row r="681" hidden="1">
      <c r="A681" s="33"/>
      <c r="F681" s="33"/>
      <c r="G681" s="33"/>
    </row>
    <row r="682" hidden="1">
      <c r="A682" s="33"/>
      <c r="F682" s="33"/>
      <c r="G682" s="33"/>
    </row>
    <row r="683" hidden="1">
      <c r="A683" s="33"/>
      <c r="F683" s="33"/>
      <c r="G683" s="33"/>
    </row>
    <row r="684" hidden="1">
      <c r="A684" s="33"/>
      <c r="F684" s="33"/>
      <c r="G684" s="33"/>
    </row>
    <row r="685" hidden="1">
      <c r="A685" s="33"/>
      <c r="F685" s="33"/>
      <c r="G685" s="33"/>
    </row>
    <row r="686" hidden="1">
      <c r="A686" s="33"/>
      <c r="F686" s="33"/>
      <c r="G686" s="33"/>
    </row>
    <row r="687" hidden="1">
      <c r="A687" s="33"/>
      <c r="F687" s="33"/>
      <c r="G687" s="33"/>
    </row>
    <row r="688" hidden="1">
      <c r="A688" s="33"/>
      <c r="F688" s="33"/>
      <c r="G688" s="33"/>
    </row>
    <row r="689" hidden="1">
      <c r="A689" s="33"/>
      <c r="F689" s="33"/>
      <c r="G689" s="33"/>
    </row>
    <row r="690" hidden="1">
      <c r="A690" s="33"/>
      <c r="F690" s="33"/>
      <c r="G690" s="33"/>
    </row>
    <row r="691" hidden="1">
      <c r="A691" s="33"/>
      <c r="F691" s="33"/>
      <c r="G691" s="33"/>
    </row>
    <row r="692" hidden="1">
      <c r="A692" s="33"/>
      <c r="F692" s="33"/>
      <c r="G692" s="33"/>
    </row>
    <row r="693" hidden="1">
      <c r="A693" s="33"/>
      <c r="F693" s="33"/>
      <c r="G693" s="33"/>
    </row>
    <row r="694" hidden="1">
      <c r="A694" s="33"/>
      <c r="F694" s="33"/>
      <c r="G694" s="33"/>
    </row>
    <row r="695" hidden="1">
      <c r="A695" s="33"/>
      <c r="F695" s="33"/>
      <c r="G695" s="33"/>
    </row>
    <row r="696" hidden="1">
      <c r="A696" s="33"/>
      <c r="F696" s="33"/>
      <c r="G696" s="33"/>
    </row>
    <row r="697" hidden="1">
      <c r="A697" s="33"/>
      <c r="F697" s="33"/>
      <c r="G697" s="33"/>
    </row>
    <row r="698" hidden="1">
      <c r="A698" s="33"/>
      <c r="F698" s="33"/>
      <c r="G698" s="33"/>
    </row>
    <row r="699" hidden="1">
      <c r="A699" s="33"/>
      <c r="F699" s="33"/>
      <c r="G699" s="33"/>
    </row>
    <row r="700" hidden="1">
      <c r="A700" s="33"/>
      <c r="F700" s="33"/>
      <c r="G700" s="33"/>
    </row>
    <row r="701" hidden="1">
      <c r="A701" s="33"/>
      <c r="F701" s="33"/>
      <c r="G701" s="33"/>
    </row>
    <row r="702" hidden="1">
      <c r="A702" s="33"/>
      <c r="F702" s="33"/>
      <c r="G702" s="33"/>
    </row>
    <row r="703" hidden="1">
      <c r="A703" s="33"/>
      <c r="F703" s="33"/>
      <c r="G703" s="33"/>
    </row>
    <row r="704" hidden="1">
      <c r="A704" s="33"/>
      <c r="F704" s="33"/>
      <c r="G704" s="33"/>
    </row>
    <row r="705" hidden="1">
      <c r="A705" s="33"/>
      <c r="F705" s="33"/>
      <c r="G705" s="33"/>
    </row>
    <row r="706" hidden="1">
      <c r="A706" s="33"/>
      <c r="F706" s="33"/>
      <c r="G706" s="33"/>
    </row>
    <row r="707" hidden="1">
      <c r="A707" s="33"/>
      <c r="F707" s="33"/>
      <c r="G707" s="33"/>
    </row>
    <row r="708" hidden="1">
      <c r="A708" s="33"/>
      <c r="F708" s="33"/>
      <c r="G708" s="33"/>
    </row>
    <row r="709" hidden="1">
      <c r="A709" s="33"/>
      <c r="F709" s="33"/>
      <c r="G709" s="33"/>
    </row>
    <row r="710" hidden="1">
      <c r="A710" s="33"/>
      <c r="F710" s="33"/>
      <c r="G710" s="33"/>
    </row>
    <row r="711" hidden="1">
      <c r="A711" s="33"/>
      <c r="F711" s="33"/>
      <c r="G711" s="33"/>
    </row>
    <row r="712" hidden="1">
      <c r="A712" s="33"/>
      <c r="F712" s="33"/>
      <c r="G712" s="33"/>
    </row>
    <row r="713" hidden="1">
      <c r="A713" s="33"/>
      <c r="F713" s="33"/>
      <c r="G713" s="33"/>
    </row>
    <row r="714" hidden="1">
      <c r="A714" s="33"/>
      <c r="F714" s="33"/>
      <c r="G714" s="33"/>
    </row>
    <row r="715" hidden="1">
      <c r="A715" s="33"/>
      <c r="F715" s="33"/>
      <c r="G715" s="33"/>
    </row>
    <row r="716" hidden="1">
      <c r="A716" s="33"/>
      <c r="F716" s="33"/>
      <c r="G716" s="33"/>
    </row>
    <row r="717" hidden="1">
      <c r="A717" s="33"/>
      <c r="F717" s="33"/>
      <c r="G717" s="33"/>
    </row>
    <row r="718" hidden="1">
      <c r="A718" s="33"/>
      <c r="F718" s="33"/>
      <c r="G718" s="33"/>
    </row>
    <row r="719" hidden="1">
      <c r="A719" s="33"/>
      <c r="F719" s="33"/>
      <c r="G719" s="33"/>
    </row>
    <row r="720" hidden="1">
      <c r="A720" s="33"/>
      <c r="F720" s="33"/>
      <c r="G720" s="33"/>
    </row>
    <row r="721" hidden="1">
      <c r="A721" s="33"/>
      <c r="F721" s="33"/>
      <c r="G721" s="33"/>
    </row>
    <row r="722" hidden="1">
      <c r="A722" s="33"/>
      <c r="F722" s="33"/>
      <c r="G722" s="33"/>
    </row>
    <row r="723" hidden="1">
      <c r="A723" s="33"/>
      <c r="F723" s="33"/>
      <c r="G723" s="33"/>
    </row>
    <row r="724" hidden="1">
      <c r="A724" s="33"/>
      <c r="F724" s="33"/>
      <c r="G724" s="33"/>
    </row>
    <row r="725" hidden="1">
      <c r="A725" s="33"/>
      <c r="F725" s="33"/>
      <c r="G725" s="33"/>
    </row>
    <row r="726" hidden="1">
      <c r="A726" s="33"/>
      <c r="F726" s="33"/>
      <c r="G726" s="33"/>
    </row>
    <row r="727" hidden="1">
      <c r="A727" s="33"/>
      <c r="F727" s="33"/>
      <c r="G727" s="33"/>
    </row>
    <row r="728" hidden="1">
      <c r="A728" s="33"/>
      <c r="F728" s="33"/>
      <c r="G728" s="33"/>
    </row>
    <row r="729" hidden="1">
      <c r="A729" s="33"/>
      <c r="F729" s="33"/>
      <c r="G729" s="33"/>
    </row>
    <row r="730" hidden="1">
      <c r="A730" s="33"/>
      <c r="F730" s="33"/>
      <c r="G730" s="33"/>
    </row>
    <row r="731" hidden="1">
      <c r="A731" s="33"/>
      <c r="F731" s="33"/>
      <c r="G731" s="33"/>
    </row>
    <row r="732" hidden="1">
      <c r="A732" s="33"/>
      <c r="F732" s="33"/>
      <c r="G732" s="33"/>
    </row>
    <row r="733" hidden="1">
      <c r="A733" s="33"/>
      <c r="F733" s="33"/>
      <c r="G733" s="33"/>
    </row>
    <row r="734" hidden="1">
      <c r="A734" s="33"/>
      <c r="F734" s="33"/>
      <c r="G734" s="33"/>
    </row>
    <row r="735" hidden="1">
      <c r="A735" s="33"/>
      <c r="F735" s="33"/>
      <c r="G735" s="33"/>
    </row>
    <row r="736" hidden="1">
      <c r="A736" s="33"/>
      <c r="F736" s="33"/>
      <c r="G736" s="33"/>
    </row>
    <row r="737" hidden="1">
      <c r="A737" s="33"/>
      <c r="F737" s="33"/>
      <c r="G737" s="33"/>
    </row>
    <row r="738" hidden="1">
      <c r="A738" s="33"/>
      <c r="F738" s="33"/>
      <c r="G738" s="33"/>
    </row>
    <row r="739" hidden="1">
      <c r="A739" s="33"/>
      <c r="F739" s="33"/>
      <c r="G739" s="33"/>
    </row>
    <row r="740" hidden="1">
      <c r="A740" s="33"/>
      <c r="F740" s="33"/>
      <c r="G740" s="33"/>
    </row>
    <row r="741" hidden="1">
      <c r="A741" s="33"/>
      <c r="F741" s="33"/>
      <c r="G741" s="33"/>
    </row>
    <row r="742" hidden="1">
      <c r="A742" s="33"/>
      <c r="F742" s="33"/>
      <c r="G742" s="33"/>
    </row>
    <row r="743" hidden="1">
      <c r="A743" s="33"/>
      <c r="F743" s="33"/>
      <c r="G743" s="33"/>
    </row>
    <row r="744" hidden="1">
      <c r="A744" s="33"/>
      <c r="F744" s="33"/>
      <c r="G744" s="33"/>
    </row>
    <row r="745" hidden="1">
      <c r="A745" s="33"/>
      <c r="F745" s="33"/>
      <c r="G745" s="33"/>
    </row>
    <row r="746" hidden="1">
      <c r="A746" s="33"/>
      <c r="F746" s="33"/>
      <c r="G746" s="33"/>
    </row>
    <row r="747" hidden="1">
      <c r="A747" s="33"/>
      <c r="F747" s="33"/>
      <c r="G747" s="33"/>
    </row>
    <row r="748" hidden="1">
      <c r="A748" s="33"/>
      <c r="F748" s="33"/>
      <c r="G748" s="33"/>
    </row>
    <row r="749" hidden="1">
      <c r="A749" s="33"/>
      <c r="F749" s="33"/>
      <c r="G749" s="33"/>
    </row>
    <row r="750" hidden="1">
      <c r="A750" s="33"/>
      <c r="F750" s="33"/>
      <c r="G750" s="33"/>
    </row>
    <row r="751" hidden="1">
      <c r="A751" s="33"/>
      <c r="F751" s="33"/>
      <c r="G751" s="33"/>
    </row>
    <row r="752" hidden="1">
      <c r="A752" s="33"/>
      <c r="F752" s="33"/>
      <c r="G752" s="33"/>
    </row>
    <row r="753" hidden="1">
      <c r="A753" s="33"/>
      <c r="F753" s="33"/>
      <c r="G753" s="33"/>
    </row>
    <row r="754" hidden="1">
      <c r="A754" s="33"/>
      <c r="F754" s="33"/>
      <c r="G754" s="33"/>
    </row>
    <row r="755" hidden="1">
      <c r="A755" s="33"/>
      <c r="F755" s="33"/>
      <c r="G755" s="33"/>
    </row>
    <row r="756" hidden="1">
      <c r="A756" s="33"/>
      <c r="F756" s="33"/>
      <c r="G756" s="33"/>
    </row>
    <row r="757" hidden="1">
      <c r="A757" s="33"/>
      <c r="F757" s="33"/>
      <c r="G757" s="33"/>
    </row>
    <row r="758" hidden="1">
      <c r="A758" s="33"/>
      <c r="F758" s="33"/>
      <c r="G758" s="33"/>
    </row>
    <row r="759" hidden="1">
      <c r="A759" s="33"/>
      <c r="F759" s="33"/>
      <c r="G759" s="33"/>
    </row>
    <row r="760" hidden="1">
      <c r="A760" s="33"/>
      <c r="F760" s="33"/>
      <c r="G760" s="33"/>
    </row>
    <row r="761" hidden="1">
      <c r="A761" s="33"/>
      <c r="F761" s="33"/>
      <c r="G761" s="33"/>
    </row>
    <row r="762" hidden="1">
      <c r="A762" s="33"/>
      <c r="F762" s="33"/>
      <c r="G762" s="33"/>
    </row>
    <row r="763" hidden="1">
      <c r="A763" s="33"/>
      <c r="F763" s="33"/>
      <c r="G763" s="33"/>
    </row>
    <row r="764" hidden="1">
      <c r="A764" s="33"/>
      <c r="F764" s="33"/>
      <c r="G764" s="33"/>
    </row>
    <row r="765" hidden="1">
      <c r="A765" s="33"/>
      <c r="F765" s="33"/>
      <c r="G765" s="33"/>
    </row>
    <row r="766" hidden="1">
      <c r="A766" s="33"/>
      <c r="F766" s="33"/>
      <c r="G766" s="33"/>
    </row>
    <row r="767" hidden="1">
      <c r="A767" s="33"/>
      <c r="F767" s="33"/>
      <c r="G767" s="33"/>
    </row>
    <row r="768" hidden="1">
      <c r="A768" s="33"/>
      <c r="F768" s="33"/>
      <c r="G768" s="33"/>
    </row>
    <row r="769" hidden="1">
      <c r="A769" s="33"/>
      <c r="F769" s="33"/>
      <c r="G769" s="33"/>
    </row>
    <row r="770" hidden="1">
      <c r="A770" s="33"/>
      <c r="F770" s="33"/>
      <c r="G770" s="33"/>
    </row>
    <row r="771" hidden="1">
      <c r="A771" s="33"/>
      <c r="F771" s="33"/>
      <c r="G771" s="33"/>
    </row>
    <row r="772" hidden="1">
      <c r="A772" s="33"/>
      <c r="F772" s="33"/>
      <c r="G772" s="33"/>
    </row>
    <row r="773" hidden="1">
      <c r="A773" s="33"/>
      <c r="F773" s="33"/>
      <c r="G773" s="33"/>
    </row>
    <row r="774" hidden="1">
      <c r="A774" s="33"/>
      <c r="F774" s="33"/>
      <c r="G774" s="33"/>
    </row>
    <row r="775" hidden="1">
      <c r="A775" s="33"/>
      <c r="F775" s="33"/>
      <c r="G775" s="33"/>
    </row>
    <row r="776" hidden="1">
      <c r="A776" s="33"/>
      <c r="F776" s="33"/>
      <c r="G776" s="33"/>
    </row>
    <row r="777" hidden="1">
      <c r="A777" s="33"/>
      <c r="F777" s="33"/>
      <c r="G777" s="33"/>
    </row>
    <row r="778" hidden="1">
      <c r="A778" s="33"/>
      <c r="F778" s="33"/>
      <c r="G778" s="33"/>
    </row>
    <row r="779" hidden="1">
      <c r="A779" s="33"/>
      <c r="F779" s="33"/>
      <c r="G779" s="33"/>
    </row>
    <row r="780" hidden="1">
      <c r="A780" s="33"/>
      <c r="F780" s="33"/>
      <c r="G780" s="33"/>
    </row>
    <row r="781" hidden="1">
      <c r="A781" s="33"/>
      <c r="F781" s="33"/>
      <c r="G781" s="33"/>
    </row>
    <row r="782" hidden="1">
      <c r="A782" s="33"/>
      <c r="F782" s="33"/>
      <c r="G782" s="33"/>
    </row>
    <row r="783" hidden="1">
      <c r="A783" s="33"/>
      <c r="F783" s="33"/>
      <c r="G783" s="33"/>
    </row>
    <row r="784" hidden="1">
      <c r="A784" s="33"/>
      <c r="F784" s="33"/>
      <c r="G784" s="33"/>
    </row>
    <row r="785" hidden="1">
      <c r="A785" s="33"/>
      <c r="F785" s="33"/>
      <c r="G785" s="33"/>
    </row>
    <row r="786" hidden="1">
      <c r="A786" s="33"/>
      <c r="F786" s="33"/>
      <c r="G786" s="33"/>
    </row>
    <row r="787" hidden="1">
      <c r="A787" s="33"/>
      <c r="F787" s="33"/>
      <c r="G787" s="33"/>
    </row>
    <row r="788" hidden="1">
      <c r="A788" s="33"/>
      <c r="F788" s="33"/>
      <c r="G788" s="33"/>
    </row>
    <row r="789" hidden="1">
      <c r="A789" s="33"/>
      <c r="F789" s="33"/>
      <c r="G789" s="33"/>
    </row>
    <row r="790" hidden="1">
      <c r="A790" s="33"/>
      <c r="F790" s="33"/>
      <c r="G790" s="33"/>
    </row>
    <row r="791" hidden="1">
      <c r="A791" s="33"/>
      <c r="F791" s="33"/>
      <c r="G791" s="33"/>
    </row>
    <row r="792" hidden="1">
      <c r="A792" s="33"/>
      <c r="F792" s="33"/>
      <c r="G792" s="33"/>
    </row>
    <row r="793" hidden="1">
      <c r="A793" s="33"/>
      <c r="F793" s="33"/>
      <c r="G793" s="33"/>
    </row>
    <row r="794" hidden="1">
      <c r="A794" s="33"/>
      <c r="F794" s="33"/>
      <c r="G794" s="33"/>
    </row>
    <row r="795" hidden="1">
      <c r="A795" s="33"/>
      <c r="F795" s="33"/>
      <c r="G795" s="33"/>
    </row>
    <row r="796" hidden="1">
      <c r="A796" s="33"/>
      <c r="F796" s="33"/>
      <c r="G796" s="33"/>
    </row>
    <row r="797" hidden="1">
      <c r="A797" s="33"/>
      <c r="F797" s="33"/>
      <c r="G797" s="33"/>
    </row>
    <row r="798" hidden="1">
      <c r="A798" s="33"/>
      <c r="F798" s="33"/>
      <c r="G798" s="33"/>
    </row>
    <row r="799" hidden="1">
      <c r="A799" s="33"/>
      <c r="F799" s="33"/>
      <c r="G799" s="33"/>
    </row>
    <row r="800" hidden="1">
      <c r="A800" s="33"/>
      <c r="F800" s="33"/>
      <c r="G800" s="33"/>
    </row>
    <row r="801" hidden="1">
      <c r="A801" s="33"/>
      <c r="F801" s="33"/>
      <c r="G801" s="33"/>
    </row>
    <row r="802" hidden="1">
      <c r="A802" s="33"/>
      <c r="F802" s="33"/>
      <c r="G802" s="33"/>
    </row>
    <row r="803" hidden="1">
      <c r="A803" s="33"/>
      <c r="F803" s="33"/>
      <c r="G803" s="33"/>
    </row>
    <row r="804" hidden="1">
      <c r="A804" s="33"/>
      <c r="F804" s="33"/>
      <c r="G804" s="33"/>
    </row>
    <row r="805" hidden="1">
      <c r="A805" s="33"/>
      <c r="F805" s="33"/>
      <c r="G805" s="33"/>
    </row>
    <row r="806" hidden="1">
      <c r="A806" s="33"/>
      <c r="F806" s="33"/>
      <c r="G806" s="33"/>
    </row>
    <row r="807" hidden="1">
      <c r="A807" s="33"/>
      <c r="F807" s="33"/>
      <c r="G807" s="33"/>
    </row>
    <row r="808" hidden="1">
      <c r="A808" s="33"/>
      <c r="F808" s="33"/>
      <c r="G808" s="33"/>
    </row>
    <row r="809" hidden="1">
      <c r="A809" s="33"/>
      <c r="F809" s="33"/>
      <c r="G809" s="33"/>
    </row>
    <row r="810" hidden="1">
      <c r="A810" s="33"/>
      <c r="F810" s="33"/>
      <c r="G810" s="33"/>
    </row>
    <row r="811" hidden="1">
      <c r="A811" s="33"/>
      <c r="F811" s="33"/>
      <c r="G811" s="33"/>
    </row>
    <row r="812" hidden="1">
      <c r="A812" s="33"/>
      <c r="F812" s="33"/>
      <c r="G812" s="33"/>
    </row>
    <row r="813" hidden="1">
      <c r="A813" s="33"/>
      <c r="F813" s="33"/>
      <c r="G813" s="33"/>
    </row>
    <row r="814" hidden="1">
      <c r="A814" s="33"/>
      <c r="F814" s="33"/>
      <c r="G814" s="33"/>
    </row>
    <row r="815" hidden="1">
      <c r="A815" s="33"/>
      <c r="F815" s="33"/>
      <c r="G815" s="33"/>
    </row>
    <row r="816" hidden="1">
      <c r="A816" s="33"/>
      <c r="F816" s="33"/>
      <c r="G816" s="33"/>
    </row>
    <row r="817" hidden="1">
      <c r="A817" s="33"/>
      <c r="F817" s="33"/>
      <c r="G817" s="33"/>
    </row>
    <row r="818" hidden="1">
      <c r="A818" s="33"/>
      <c r="F818" s="33"/>
      <c r="G818" s="33"/>
    </row>
    <row r="819" hidden="1">
      <c r="A819" s="33"/>
      <c r="F819" s="33"/>
      <c r="G819" s="33"/>
    </row>
    <row r="820" hidden="1">
      <c r="A820" s="33"/>
      <c r="F820" s="33"/>
      <c r="G820" s="33"/>
    </row>
    <row r="821" hidden="1">
      <c r="A821" s="33"/>
      <c r="F821" s="33"/>
      <c r="G821" s="33"/>
    </row>
    <row r="822" hidden="1">
      <c r="A822" s="33"/>
      <c r="F822" s="33"/>
      <c r="G822" s="33"/>
    </row>
    <row r="823" hidden="1">
      <c r="A823" s="33"/>
      <c r="F823" s="33"/>
      <c r="G823" s="33"/>
    </row>
    <row r="824" hidden="1">
      <c r="A824" s="33"/>
      <c r="F824" s="33"/>
      <c r="G824" s="33"/>
    </row>
    <row r="825" hidden="1">
      <c r="A825" s="33"/>
      <c r="F825" s="33"/>
      <c r="G825" s="33"/>
    </row>
    <row r="826" hidden="1">
      <c r="A826" s="33"/>
      <c r="F826" s="33"/>
      <c r="G826" s="33"/>
    </row>
    <row r="827" hidden="1">
      <c r="A827" s="33"/>
      <c r="F827" s="33"/>
      <c r="G827" s="33"/>
    </row>
    <row r="828" hidden="1">
      <c r="A828" s="33"/>
      <c r="F828" s="33"/>
      <c r="G828" s="33"/>
    </row>
    <row r="829" hidden="1">
      <c r="A829" s="33"/>
      <c r="F829" s="33"/>
      <c r="G829" s="33"/>
    </row>
    <row r="830" hidden="1">
      <c r="A830" s="33"/>
      <c r="F830" s="33"/>
      <c r="G830" s="33"/>
    </row>
    <row r="831" hidden="1">
      <c r="A831" s="33"/>
      <c r="F831" s="33"/>
      <c r="G831" s="33"/>
    </row>
    <row r="832" hidden="1">
      <c r="A832" s="33"/>
      <c r="F832" s="33"/>
      <c r="G832" s="33"/>
    </row>
    <row r="833" hidden="1">
      <c r="A833" s="33"/>
      <c r="F833" s="33"/>
      <c r="G833" s="33"/>
    </row>
    <row r="834" hidden="1">
      <c r="A834" s="33"/>
      <c r="F834" s="33"/>
      <c r="G834" s="33"/>
    </row>
    <row r="835" hidden="1">
      <c r="A835" s="33"/>
      <c r="F835" s="33"/>
      <c r="G835" s="33"/>
    </row>
    <row r="836" hidden="1">
      <c r="A836" s="33"/>
      <c r="F836" s="33"/>
      <c r="G836" s="33"/>
    </row>
    <row r="837" hidden="1">
      <c r="A837" s="33"/>
      <c r="F837" s="33"/>
      <c r="G837" s="33"/>
    </row>
    <row r="838" hidden="1">
      <c r="A838" s="33"/>
      <c r="F838" s="33"/>
      <c r="G838" s="33"/>
    </row>
    <row r="839" hidden="1">
      <c r="A839" s="33"/>
      <c r="F839" s="33"/>
      <c r="G839" s="33"/>
    </row>
    <row r="840" hidden="1">
      <c r="A840" s="33"/>
      <c r="F840" s="33"/>
      <c r="G840" s="33"/>
    </row>
    <row r="841" hidden="1">
      <c r="A841" s="33"/>
      <c r="F841" s="33"/>
      <c r="G841" s="33"/>
    </row>
    <row r="842" hidden="1">
      <c r="A842" s="33"/>
      <c r="F842" s="33"/>
      <c r="G842" s="33"/>
    </row>
    <row r="843" hidden="1">
      <c r="A843" s="33"/>
      <c r="F843" s="33"/>
      <c r="G843" s="33"/>
    </row>
    <row r="844" hidden="1">
      <c r="A844" s="33"/>
      <c r="F844" s="33"/>
      <c r="G844" s="33"/>
    </row>
    <row r="845" hidden="1">
      <c r="A845" s="33"/>
      <c r="F845" s="33"/>
      <c r="G845" s="33"/>
    </row>
    <row r="846" hidden="1">
      <c r="A846" s="33"/>
      <c r="F846" s="33"/>
      <c r="G846" s="33"/>
    </row>
    <row r="847" hidden="1">
      <c r="A847" s="33"/>
      <c r="F847" s="33"/>
      <c r="G847" s="33"/>
    </row>
    <row r="848" hidden="1">
      <c r="A848" s="33"/>
      <c r="F848" s="33"/>
      <c r="G848" s="33"/>
    </row>
    <row r="849" hidden="1">
      <c r="A849" s="33"/>
      <c r="F849" s="33"/>
      <c r="G849" s="33"/>
    </row>
    <row r="850" hidden="1">
      <c r="A850" s="33"/>
      <c r="F850" s="33"/>
      <c r="G850" s="33"/>
    </row>
    <row r="851" hidden="1">
      <c r="A851" s="33"/>
      <c r="F851" s="33"/>
      <c r="G851" s="33"/>
    </row>
    <row r="852" hidden="1">
      <c r="A852" s="33"/>
      <c r="F852" s="33"/>
      <c r="G852" s="33"/>
    </row>
    <row r="853" hidden="1">
      <c r="A853" s="33"/>
      <c r="F853" s="33"/>
      <c r="G853" s="33"/>
    </row>
    <row r="854" hidden="1">
      <c r="A854" s="33"/>
      <c r="F854" s="33"/>
      <c r="G854" s="33"/>
    </row>
    <row r="855" hidden="1">
      <c r="A855" s="33"/>
      <c r="F855" s="33"/>
      <c r="G855" s="33"/>
    </row>
    <row r="856" hidden="1">
      <c r="A856" s="33"/>
      <c r="F856" s="33"/>
      <c r="G856" s="33"/>
    </row>
    <row r="857" hidden="1">
      <c r="A857" s="33"/>
      <c r="F857" s="33"/>
      <c r="G857" s="33"/>
    </row>
    <row r="858" hidden="1">
      <c r="A858" s="33"/>
      <c r="F858" s="33"/>
      <c r="G858" s="33"/>
    </row>
    <row r="859" hidden="1">
      <c r="A859" s="33"/>
      <c r="F859" s="33"/>
      <c r="G859" s="33"/>
    </row>
    <row r="860" hidden="1">
      <c r="A860" s="33"/>
      <c r="F860" s="33"/>
      <c r="G860" s="33"/>
    </row>
    <row r="861" hidden="1">
      <c r="A861" s="33"/>
      <c r="F861" s="33"/>
      <c r="G861" s="33"/>
    </row>
    <row r="862" hidden="1">
      <c r="A862" s="33"/>
      <c r="F862" s="33"/>
      <c r="G862" s="33"/>
    </row>
    <row r="863" hidden="1">
      <c r="A863" s="33"/>
      <c r="F863" s="33"/>
      <c r="G863" s="33"/>
    </row>
    <row r="864" hidden="1">
      <c r="A864" s="33"/>
      <c r="F864" s="33"/>
      <c r="G864" s="33"/>
    </row>
    <row r="865" hidden="1">
      <c r="A865" s="33"/>
      <c r="F865" s="33"/>
      <c r="G865" s="33"/>
    </row>
    <row r="866" hidden="1">
      <c r="A866" s="33"/>
      <c r="F866" s="33"/>
      <c r="G866" s="33"/>
    </row>
    <row r="867" hidden="1">
      <c r="A867" s="33"/>
      <c r="F867" s="33"/>
      <c r="G867" s="33"/>
    </row>
    <row r="868" hidden="1">
      <c r="A868" s="33"/>
      <c r="F868" s="33"/>
      <c r="G868" s="33"/>
    </row>
    <row r="869" hidden="1">
      <c r="A869" s="33"/>
      <c r="F869" s="33"/>
      <c r="G869" s="33"/>
    </row>
    <row r="870" hidden="1">
      <c r="A870" s="33"/>
      <c r="F870" s="33"/>
      <c r="G870" s="33"/>
    </row>
    <row r="871" hidden="1">
      <c r="A871" s="33"/>
      <c r="F871" s="33"/>
      <c r="G871" s="33"/>
    </row>
    <row r="872" hidden="1">
      <c r="A872" s="33"/>
      <c r="F872" s="33"/>
      <c r="G872" s="33"/>
    </row>
    <row r="873" hidden="1">
      <c r="A873" s="33"/>
      <c r="F873" s="33"/>
      <c r="G873" s="33"/>
    </row>
    <row r="874" hidden="1">
      <c r="A874" s="33"/>
      <c r="F874" s="33"/>
      <c r="G874" s="33"/>
    </row>
    <row r="875" hidden="1">
      <c r="A875" s="33"/>
      <c r="F875" s="33"/>
      <c r="G875" s="33"/>
    </row>
    <row r="876" hidden="1">
      <c r="A876" s="33"/>
      <c r="F876" s="33"/>
      <c r="G876" s="33"/>
    </row>
    <row r="877" hidden="1">
      <c r="A877" s="33"/>
      <c r="F877" s="33"/>
      <c r="G877" s="33"/>
    </row>
    <row r="878" hidden="1">
      <c r="A878" s="33"/>
      <c r="F878" s="33"/>
      <c r="G878" s="33"/>
    </row>
    <row r="879" hidden="1">
      <c r="A879" s="33"/>
      <c r="F879" s="33"/>
      <c r="G879" s="33"/>
    </row>
    <row r="880" hidden="1">
      <c r="A880" s="33"/>
      <c r="F880" s="33"/>
      <c r="G880" s="33"/>
    </row>
    <row r="881" hidden="1">
      <c r="A881" s="33"/>
      <c r="F881" s="33"/>
      <c r="G881" s="33"/>
    </row>
    <row r="882" hidden="1">
      <c r="A882" s="33"/>
      <c r="F882" s="33"/>
      <c r="G882" s="33"/>
    </row>
    <row r="883" hidden="1">
      <c r="A883" s="33"/>
      <c r="F883" s="33"/>
      <c r="G883" s="33"/>
    </row>
    <row r="884" hidden="1">
      <c r="A884" s="33"/>
      <c r="F884" s="33"/>
      <c r="G884" s="33"/>
    </row>
    <row r="885" hidden="1">
      <c r="A885" s="33"/>
      <c r="F885" s="33"/>
      <c r="G885" s="33"/>
    </row>
    <row r="886" hidden="1">
      <c r="A886" s="33"/>
      <c r="F886" s="33"/>
      <c r="G886" s="33"/>
    </row>
    <row r="887" hidden="1">
      <c r="A887" s="33"/>
      <c r="F887" s="33"/>
      <c r="G887" s="33"/>
    </row>
    <row r="888" hidden="1">
      <c r="A888" s="33"/>
      <c r="F888" s="33"/>
      <c r="G888" s="33"/>
    </row>
    <row r="889" hidden="1">
      <c r="A889" s="33"/>
      <c r="F889" s="33"/>
      <c r="G889" s="33"/>
    </row>
    <row r="890" hidden="1">
      <c r="A890" s="33"/>
      <c r="F890" s="33"/>
      <c r="G890" s="33"/>
    </row>
    <row r="891" hidden="1">
      <c r="A891" s="33"/>
      <c r="F891" s="33"/>
      <c r="G891" s="33"/>
    </row>
    <row r="892" hidden="1">
      <c r="A892" s="33"/>
      <c r="F892" s="33"/>
      <c r="G892" s="33"/>
    </row>
    <row r="893" hidden="1">
      <c r="A893" s="33"/>
      <c r="F893" s="33"/>
      <c r="G893" s="33"/>
    </row>
    <row r="894" hidden="1">
      <c r="A894" s="33"/>
      <c r="F894" s="33"/>
      <c r="G894" s="33"/>
    </row>
    <row r="895" hidden="1">
      <c r="A895" s="33"/>
      <c r="F895" s="33"/>
      <c r="G895" s="33"/>
    </row>
    <row r="896" hidden="1">
      <c r="A896" s="33"/>
      <c r="F896" s="33"/>
      <c r="G896" s="33"/>
    </row>
    <row r="897" hidden="1">
      <c r="A897" s="33"/>
      <c r="F897" s="33"/>
      <c r="G897" s="33"/>
    </row>
    <row r="898" hidden="1">
      <c r="A898" s="33"/>
      <c r="F898" s="33"/>
      <c r="G898" s="33"/>
    </row>
    <row r="899" hidden="1">
      <c r="A899" s="33"/>
      <c r="F899" s="33"/>
      <c r="G899" s="33"/>
    </row>
    <row r="900" hidden="1">
      <c r="A900" s="33"/>
      <c r="F900" s="33"/>
      <c r="G900" s="33"/>
    </row>
    <row r="901" hidden="1">
      <c r="A901" s="33"/>
      <c r="F901" s="33"/>
      <c r="G901" s="33"/>
    </row>
    <row r="902" hidden="1">
      <c r="A902" s="33"/>
      <c r="F902" s="33"/>
      <c r="G902" s="33"/>
    </row>
    <row r="903" hidden="1">
      <c r="A903" s="33"/>
      <c r="F903" s="33"/>
      <c r="G903" s="33"/>
    </row>
    <row r="904" hidden="1">
      <c r="A904" s="33"/>
      <c r="F904" s="33"/>
      <c r="G904" s="33"/>
    </row>
    <row r="905" hidden="1">
      <c r="A905" s="33"/>
      <c r="F905" s="33"/>
      <c r="G905" s="33"/>
    </row>
    <row r="906" hidden="1">
      <c r="A906" s="33"/>
      <c r="F906" s="33"/>
      <c r="G906" s="33"/>
    </row>
    <row r="907" hidden="1">
      <c r="A907" s="33"/>
      <c r="F907" s="33"/>
      <c r="G907" s="33"/>
    </row>
    <row r="908" hidden="1">
      <c r="A908" s="33"/>
      <c r="F908" s="33"/>
      <c r="G908" s="33"/>
    </row>
    <row r="909" hidden="1">
      <c r="A909" s="33"/>
      <c r="F909" s="33"/>
      <c r="G909" s="33"/>
    </row>
    <row r="910" hidden="1">
      <c r="A910" s="33"/>
      <c r="F910" s="33"/>
      <c r="G910" s="33"/>
    </row>
    <row r="911" hidden="1">
      <c r="A911" s="33"/>
      <c r="F911" s="33"/>
      <c r="G911" s="33"/>
    </row>
    <row r="912" hidden="1">
      <c r="A912" s="33"/>
      <c r="F912" s="33"/>
      <c r="G912" s="33"/>
    </row>
    <row r="913" hidden="1">
      <c r="A913" s="33"/>
      <c r="F913" s="33"/>
      <c r="G913" s="33"/>
    </row>
    <row r="914" hidden="1">
      <c r="A914" s="33"/>
      <c r="F914" s="33"/>
      <c r="G914" s="33"/>
    </row>
    <row r="915" hidden="1">
      <c r="A915" s="33"/>
      <c r="F915" s="33"/>
      <c r="G915" s="33"/>
    </row>
    <row r="916" hidden="1">
      <c r="A916" s="33"/>
      <c r="F916" s="33"/>
      <c r="G916" s="33"/>
    </row>
    <row r="917" hidden="1">
      <c r="A917" s="33"/>
      <c r="F917" s="33"/>
      <c r="G917" s="33"/>
    </row>
    <row r="918" hidden="1">
      <c r="A918" s="33"/>
      <c r="F918" s="33"/>
      <c r="G918" s="33"/>
    </row>
    <row r="919" hidden="1">
      <c r="A919" s="33"/>
      <c r="F919" s="33"/>
      <c r="G919" s="33"/>
    </row>
    <row r="920" hidden="1">
      <c r="A920" s="33"/>
      <c r="F920" s="33"/>
      <c r="G920" s="33"/>
    </row>
    <row r="921" hidden="1">
      <c r="A921" s="33"/>
      <c r="F921" s="33"/>
      <c r="G921" s="33"/>
    </row>
    <row r="922" hidden="1">
      <c r="A922" s="33"/>
      <c r="F922" s="33"/>
      <c r="G922" s="33"/>
    </row>
    <row r="923" hidden="1">
      <c r="A923" s="33"/>
      <c r="F923" s="33"/>
      <c r="G923" s="33"/>
    </row>
    <row r="924" hidden="1">
      <c r="A924" s="33"/>
      <c r="F924" s="33"/>
      <c r="G924" s="33"/>
    </row>
    <row r="925" hidden="1">
      <c r="A925" s="33"/>
      <c r="F925" s="33"/>
      <c r="G925" s="33"/>
    </row>
    <row r="926" hidden="1">
      <c r="A926" s="33"/>
      <c r="F926" s="33"/>
      <c r="G926" s="33"/>
    </row>
    <row r="927" hidden="1">
      <c r="A927" s="33"/>
      <c r="F927" s="33"/>
      <c r="G927" s="33"/>
    </row>
    <row r="928" hidden="1">
      <c r="A928" s="33"/>
      <c r="F928" s="33"/>
      <c r="G928" s="33"/>
    </row>
    <row r="929" hidden="1">
      <c r="A929" s="33"/>
      <c r="F929" s="33"/>
      <c r="G929" s="33"/>
    </row>
    <row r="930" hidden="1">
      <c r="A930" s="33"/>
      <c r="F930" s="33"/>
      <c r="G930" s="33"/>
    </row>
    <row r="931" hidden="1">
      <c r="A931" s="33"/>
      <c r="F931" s="33"/>
      <c r="G931" s="33"/>
    </row>
    <row r="932" hidden="1">
      <c r="A932" s="33"/>
      <c r="F932" s="33"/>
      <c r="G932" s="33"/>
    </row>
    <row r="933" hidden="1">
      <c r="A933" s="33"/>
      <c r="F933" s="33"/>
      <c r="G933" s="33"/>
    </row>
    <row r="934" hidden="1">
      <c r="A934" s="33"/>
      <c r="F934" s="33"/>
      <c r="G934" s="33"/>
    </row>
    <row r="935" hidden="1">
      <c r="A935" s="33"/>
      <c r="F935" s="33"/>
      <c r="G935" s="33"/>
    </row>
    <row r="936" hidden="1">
      <c r="A936" s="33"/>
      <c r="F936" s="33"/>
      <c r="G936" s="33"/>
    </row>
    <row r="937" hidden="1">
      <c r="A937" s="33"/>
      <c r="F937" s="33"/>
      <c r="G937" s="33"/>
    </row>
    <row r="938" hidden="1">
      <c r="A938" s="33"/>
      <c r="F938" s="33"/>
      <c r="G938" s="33"/>
    </row>
    <row r="939" hidden="1">
      <c r="A939" s="33"/>
      <c r="F939" s="33"/>
      <c r="G939" s="33"/>
    </row>
    <row r="940" hidden="1">
      <c r="A940" s="33"/>
      <c r="F940" s="33"/>
      <c r="G940" s="33"/>
    </row>
  </sheetData>
  <autoFilter ref="$E$1:$E$940">
    <filterColumn colId="0">
      <filters>
        <filter val="L+C"/>
      </filters>
    </filterColumn>
  </autoFilter>
  <customSheetViews>
    <customSheetView guid="{CDF779C1-6D2E-4C87-BBF1-2992DD354FF3}" filter="1" showAutoFilter="1">
      <autoFilter ref="$A$1:$R$68">
        <filterColumn colId="7">
          <filters>
            <filter val="3"/>
            <filter val="4"/>
            <filter val="5"/>
            <filter val="6"/>
            <filter val="7"/>
          </filters>
        </filterColumn>
      </autoFilter>
    </customSheetView>
  </customSheetViews>
  <dataValidations>
    <dataValidation type="list" allowBlank="1" showErrorMessage="1" sqref="E2:E68">
      <formula1>"Vectored Thrust,Multicopter,L+C ,Hoverbike,Electric"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hidden="1" min="4" max="4" width="12.63"/>
    <col customWidth="1" min="5" max="5" width="17.38"/>
    <col customWidth="1" hidden="1" min="6" max="6" width="21.38"/>
    <col customWidth="1" min="7" max="7" width="14.13"/>
    <col hidden="1" min="13" max="13" width="12.63"/>
  </cols>
  <sheetData>
    <row r="4">
      <c r="B4" s="34" t="s">
        <v>0</v>
      </c>
      <c r="C4" s="34" t="s">
        <v>1</v>
      </c>
      <c r="D4" s="34" t="s">
        <v>3</v>
      </c>
      <c r="E4" s="34" t="s">
        <v>4</v>
      </c>
      <c r="F4" s="34" t="s">
        <v>232</v>
      </c>
      <c r="G4" s="34" t="s">
        <v>233</v>
      </c>
      <c r="H4" s="34" t="s">
        <v>234</v>
      </c>
      <c r="I4" s="35" t="s">
        <v>235</v>
      </c>
      <c r="J4" s="34" t="s">
        <v>9</v>
      </c>
      <c r="K4" s="34" t="s">
        <v>10</v>
      </c>
      <c r="L4" s="34" t="s">
        <v>11</v>
      </c>
      <c r="M4" s="34" t="s">
        <v>13</v>
      </c>
      <c r="N4" s="34" t="s">
        <v>15</v>
      </c>
      <c r="O4" s="34" t="s">
        <v>17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B5" s="36" t="s">
        <v>97</v>
      </c>
      <c r="C5" s="37" t="s">
        <v>98</v>
      </c>
      <c r="D5" s="38" t="s">
        <v>99</v>
      </c>
      <c r="E5" s="39" t="s">
        <v>28</v>
      </c>
      <c r="F5" s="36">
        <v>8.0</v>
      </c>
      <c r="G5" s="36" t="s">
        <v>22</v>
      </c>
      <c r="H5" s="39">
        <v>3.0</v>
      </c>
      <c r="I5" s="39" t="s">
        <v>24</v>
      </c>
      <c r="J5" s="40"/>
      <c r="K5" s="39">
        <v>0.6</v>
      </c>
      <c r="L5" s="39">
        <v>80.0</v>
      </c>
      <c r="M5" s="39">
        <v>16.0</v>
      </c>
      <c r="N5" s="39" t="s">
        <v>100</v>
      </c>
      <c r="O5" s="39">
        <v>120.0</v>
      </c>
    </row>
    <row r="6">
      <c r="B6" s="36" t="s">
        <v>129</v>
      </c>
      <c r="C6" s="39" t="s">
        <v>130</v>
      </c>
      <c r="D6" s="38" t="s">
        <v>131</v>
      </c>
      <c r="E6" s="39" t="s">
        <v>28</v>
      </c>
      <c r="F6" s="36" t="s">
        <v>236</v>
      </c>
      <c r="G6" s="36" t="s">
        <v>22</v>
      </c>
      <c r="H6" s="39">
        <v>4.0</v>
      </c>
      <c r="I6" s="39" t="s">
        <v>24</v>
      </c>
      <c r="J6" s="39">
        <v>2850.0</v>
      </c>
      <c r="K6" s="39">
        <v>1.6</v>
      </c>
      <c r="L6" s="39">
        <v>460.0</v>
      </c>
      <c r="M6" s="39">
        <v>5.0</v>
      </c>
      <c r="N6" s="39" t="s">
        <v>24</v>
      </c>
      <c r="O6" s="39">
        <v>270.0</v>
      </c>
    </row>
    <row r="7">
      <c r="B7" s="36" t="s">
        <v>160</v>
      </c>
      <c r="C7" s="39" t="s">
        <v>161</v>
      </c>
      <c r="D7" s="38" t="s">
        <v>162</v>
      </c>
      <c r="E7" s="39" t="s">
        <v>33</v>
      </c>
      <c r="F7" s="36">
        <v>6.0</v>
      </c>
      <c r="G7" s="36" t="s">
        <v>22</v>
      </c>
      <c r="H7" s="39">
        <v>4.0</v>
      </c>
      <c r="I7" s="39" t="s">
        <v>24</v>
      </c>
      <c r="J7" s="39">
        <v>2404.0</v>
      </c>
      <c r="K7" s="39">
        <v>0.7</v>
      </c>
      <c r="L7" s="39">
        <v>241.0</v>
      </c>
      <c r="M7" s="39">
        <v>6.0</v>
      </c>
      <c r="N7" s="39" t="s">
        <v>24</v>
      </c>
      <c r="O7" s="39">
        <v>322.0</v>
      </c>
    </row>
    <row r="8">
      <c r="B8" s="36" t="s">
        <v>185</v>
      </c>
      <c r="C8" s="39" t="s">
        <v>186</v>
      </c>
      <c r="D8" s="41" t="s">
        <v>187</v>
      </c>
      <c r="E8" s="39" t="s">
        <v>33</v>
      </c>
      <c r="F8" s="36" t="s">
        <v>188</v>
      </c>
      <c r="G8" s="36" t="s">
        <v>22</v>
      </c>
      <c r="H8" s="39">
        <v>5.0</v>
      </c>
      <c r="I8" s="39" t="s">
        <v>23</v>
      </c>
      <c r="J8" s="40"/>
      <c r="K8" s="39">
        <v>0.66</v>
      </c>
      <c r="L8" s="39">
        <v>161.0</v>
      </c>
      <c r="M8" s="39">
        <v>8.0</v>
      </c>
      <c r="N8" s="39" t="s">
        <v>24</v>
      </c>
      <c r="O8" s="39">
        <v>241.0</v>
      </c>
    </row>
    <row r="9">
      <c r="B9" s="36" t="s">
        <v>168</v>
      </c>
      <c r="C9" s="39" t="s">
        <v>169</v>
      </c>
      <c r="D9" s="38" t="s">
        <v>170</v>
      </c>
      <c r="E9" s="39" t="s">
        <v>33</v>
      </c>
      <c r="F9" s="36">
        <v>12.0</v>
      </c>
      <c r="G9" s="36" t="s">
        <v>22</v>
      </c>
      <c r="H9" s="39">
        <v>4.0</v>
      </c>
      <c r="I9" s="39" t="s">
        <v>23</v>
      </c>
      <c r="J9" s="40"/>
      <c r="K9" s="39">
        <v>0.65</v>
      </c>
      <c r="L9" s="39">
        <v>144.0</v>
      </c>
      <c r="M9" s="39">
        <v>12.0</v>
      </c>
      <c r="N9" s="39" t="s">
        <v>23</v>
      </c>
      <c r="O9" s="39">
        <v>210.0</v>
      </c>
    </row>
    <row r="10">
      <c r="B10" s="36" t="s">
        <v>202</v>
      </c>
      <c r="C10" s="39" t="s">
        <v>237</v>
      </c>
      <c r="D10" s="41" t="s">
        <v>204</v>
      </c>
      <c r="E10" s="39" t="s">
        <v>33</v>
      </c>
      <c r="F10" s="36" t="s">
        <v>238</v>
      </c>
      <c r="G10" s="36" t="s">
        <v>22</v>
      </c>
      <c r="H10" s="39">
        <v>7.0</v>
      </c>
      <c r="I10" s="39" t="s">
        <v>24</v>
      </c>
      <c r="J10" s="39">
        <v>1800.0</v>
      </c>
      <c r="K10" s="39">
        <v>1.0</v>
      </c>
      <c r="L10" s="39">
        <v>250.0</v>
      </c>
      <c r="M10" s="39">
        <v>36.0</v>
      </c>
      <c r="N10" s="39" t="s">
        <v>24</v>
      </c>
      <c r="O10" s="39">
        <v>250.0</v>
      </c>
    </row>
    <row r="11">
      <c r="B11" s="39" t="s">
        <v>239</v>
      </c>
      <c r="C11" s="39" t="s">
        <v>59</v>
      </c>
      <c r="D11" s="41" t="s">
        <v>240</v>
      </c>
      <c r="E11" s="39" t="s">
        <v>33</v>
      </c>
      <c r="F11" s="36">
        <v>12.0</v>
      </c>
      <c r="G11" s="42" t="s">
        <v>22</v>
      </c>
      <c r="H11" s="39">
        <v>5.0</v>
      </c>
      <c r="I11" s="39" t="s">
        <v>24</v>
      </c>
      <c r="J11" s="39">
        <v>3175.0</v>
      </c>
      <c r="K11" s="39">
        <v>0.62</v>
      </c>
      <c r="L11" s="39">
        <v>150.0</v>
      </c>
      <c r="M11" s="39">
        <v>12.0</v>
      </c>
      <c r="N11" s="39" t="s">
        <v>24</v>
      </c>
      <c r="O11" s="39">
        <v>241.0</v>
      </c>
    </row>
    <row r="12">
      <c r="B12" s="36" t="s">
        <v>101</v>
      </c>
      <c r="C12" s="39" t="s">
        <v>102</v>
      </c>
      <c r="D12" s="38" t="s">
        <v>103</v>
      </c>
      <c r="E12" s="39" t="s">
        <v>28</v>
      </c>
      <c r="F12" s="36" t="s">
        <v>241</v>
      </c>
      <c r="G12" s="36" t="s">
        <v>29</v>
      </c>
      <c r="H12" s="39">
        <v>3.0</v>
      </c>
      <c r="I12" s="39" t="s">
        <v>24</v>
      </c>
      <c r="J12" s="39">
        <v>2000.0</v>
      </c>
      <c r="K12" s="39">
        <v>2.5</v>
      </c>
      <c r="L12" s="39">
        <v>450.0</v>
      </c>
      <c r="M12" s="39">
        <v>4.0</v>
      </c>
      <c r="N12" s="39" t="s">
        <v>23</v>
      </c>
      <c r="O12" s="39">
        <v>200.0</v>
      </c>
    </row>
    <row r="13">
      <c r="B13" s="36" t="s">
        <v>126</v>
      </c>
      <c r="C13" s="39" t="s">
        <v>127</v>
      </c>
      <c r="D13" s="38" t="s">
        <v>128</v>
      </c>
      <c r="E13" s="39" t="s">
        <v>28</v>
      </c>
      <c r="F13" s="36">
        <v>13.0</v>
      </c>
      <c r="G13" s="36" t="s">
        <v>22</v>
      </c>
      <c r="H13" s="39">
        <v>4.0</v>
      </c>
      <c r="I13" s="39" t="s">
        <v>23</v>
      </c>
      <c r="J13" s="39">
        <v>1500.0</v>
      </c>
      <c r="K13" s="39">
        <v>1.5</v>
      </c>
      <c r="L13" s="39">
        <v>250.0</v>
      </c>
      <c r="M13" s="39">
        <v>13.0</v>
      </c>
      <c r="N13" s="39" t="s">
        <v>24</v>
      </c>
      <c r="O13" s="39">
        <v>200.0</v>
      </c>
    </row>
    <row r="14">
      <c r="B14" s="36" t="s">
        <v>156</v>
      </c>
      <c r="C14" s="39" t="s">
        <v>157</v>
      </c>
      <c r="D14" s="38" t="s">
        <v>158</v>
      </c>
      <c r="E14" s="39" t="s">
        <v>28</v>
      </c>
      <c r="F14" s="36" t="s">
        <v>242</v>
      </c>
      <c r="G14" s="42" t="s">
        <v>22</v>
      </c>
      <c r="H14" s="36">
        <v>4.0</v>
      </c>
      <c r="I14" s="39" t="s">
        <v>23</v>
      </c>
      <c r="J14" s="40"/>
      <c r="K14" s="39">
        <v>0.5</v>
      </c>
      <c r="L14" s="39">
        <v>100.0</v>
      </c>
      <c r="M14" s="39" t="s">
        <v>159</v>
      </c>
      <c r="N14" s="39" t="s">
        <v>24</v>
      </c>
      <c r="O14" s="39">
        <v>180.0</v>
      </c>
    </row>
  </sheetData>
  <dataValidations>
    <dataValidation type="list" allowBlank="1" showErrorMessage="1" sqref="E5:E14">
      <formula1>"Vectored Thrust,Multicopter,L+C ,Hoverbike,Electric"</formula1>
    </dataValidation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3.88"/>
    <col customWidth="1" min="4" max="4" width="30.13"/>
    <col customWidth="1" min="9" max="9" width="42.13"/>
  </cols>
  <sheetData>
    <row r="1">
      <c r="B1" s="43" t="s">
        <v>243</v>
      </c>
      <c r="C1" s="44" t="s">
        <v>244</v>
      </c>
      <c r="D1" s="45" t="s">
        <v>245</v>
      </c>
    </row>
    <row r="2" ht="69.0" customHeight="1">
      <c r="B2" s="46" t="s">
        <v>98</v>
      </c>
      <c r="C2" s="47" t="s">
        <v>246</v>
      </c>
      <c r="D2" s="48" t="s">
        <v>247</v>
      </c>
      <c r="I2" s="33"/>
    </row>
    <row r="3">
      <c r="B3" s="49" t="s">
        <v>161</v>
      </c>
      <c r="C3" s="47" t="s">
        <v>248</v>
      </c>
      <c r="D3" s="48" t="s">
        <v>249</v>
      </c>
      <c r="I3" s="50" t="s">
        <v>250</v>
      </c>
    </row>
    <row r="4">
      <c r="B4" s="49" t="s">
        <v>130</v>
      </c>
      <c r="C4" s="47" t="s">
        <v>251</v>
      </c>
      <c r="D4" s="48" t="s">
        <v>252</v>
      </c>
      <c r="I4" s="33"/>
    </row>
    <row r="5" ht="31.5" customHeight="1">
      <c r="B5" s="49" t="s">
        <v>186</v>
      </c>
      <c r="C5" s="51" t="s">
        <v>253</v>
      </c>
      <c r="D5" s="48" t="s">
        <v>254</v>
      </c>
      <c r="I5" s="33"/>
    </row>
    <row r="6" ht="63.0" customHeight="1">
      <c r="B6" s="49" t="s">
        <v>169</v>
      </c>
      <c r="C6" s="47" t="s">
        <v>255</v>
      </c>
      <c r="D6" s="48" t="s">
        <v>256</v>
      </c>
      <c r="I6" s="33"/>
    </row>
    <row r="7">
      <c r="B7" s="49" t="s">
        <v>257</v>
      </c>
      <c r="C7" s="47" t="s">
        <v>258</v>
      </c>
      <c r="D7" s="48" t="s">
        <v>259</v>
      </c>
      <c r="I7" s="33"/>
    </row>
    <row r="8">
      <c r="B8" s="49" t="s">
        <v>59</v>
      </c>
      <c r="C8" s="47" t="s">
        <v>260</v>
      </c>
      <c r="D8" s="48" t="s">
        <v>261</v>
      </c>
      <c r="I8" s="50" t="s">
        <v>262</v>
      </c>
    </row>
    <row r="9">
      <c r="B9" s="49" t="s">
        <v>102</v>
      </c>
      <c r="C9" s="47" t="s">
        <v>263</v>
      </c>
      <c r="D9" s="48" t="s">
        <v>264</v>
      </c>
      <c r="I9" s="33"/>
    </row>
    <row r="10">
      <c r="B10" s="49" t="s">
        <v>157</v>
      </c>
      <c r="C10" s="47" t="s">
        <v>265</v>
      </c>
      <c r="D10" s="48" t="s">
        <v>266</v>
      </c>
      <c r="I10" s="33"/>
    </row>
    <row r="11">
      <c r="B11" s="49" t="s">
        <v>127</v>
      </c>
      <c r="C11" s="47" t="s">
        <v>267</v>
      </c>
      <c r="D11" s="48" t="s">
        <v>268</v>
      </c>
      <c r="I11" s="33"/>
    </row>
    <row r="12">
      <c r="B12" s="33"/>
      <c r="C12" s="33"/>
      <c r="D12" s="33"/>
      <c r="I12" s="33"/>
    </row>
    <row r="13">
      <c r="I13" s="33"/>
    </row>
  </sheetData>
  <hyperlinks>
    <hyperlink r:id="rId1" ref="I3"/>
    <hyperlink r:id="rId2" ref="I8"/>
  </hyperlinks>
  <drawing r:id="rId3"/>
</worksheet>
</file>