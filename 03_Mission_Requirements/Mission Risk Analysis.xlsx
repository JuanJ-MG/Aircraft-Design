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sk Conventions" sheetId="1" r:id="rId4"/>
    <sheet state="visible" name="Project-level Risks" sheetId="2" r:id="rId5"/>
    <sheet state="visible" name="Subsystem Risks" sheetId="3" r:id="rId6"/>
    <sheet state="visible" name="Other Risks" sheetId="4" r:id="rId7"/>
  </sheets>
  <definedNames/>
  <calcPr/>
</workbook>
</file>

<file path=xl/sharedStrings.xml><?xml version="1.0" encoding="utf-8"?>
<sst xmlns="http://schemas.openxmlformats.org/spreadsheetml/2006/main" count="100" uniqueCount="68">
  <si>
    <t>Level</t>
  </si>
  <si>
    <t>Likelihood</t>
  </si>
  <si>
    <t>Severity</t>
  </si>
  <si>
    <t>Risk Quantification</t>
  </si>
  <si>
    <t>Consequence</t>
  </si>
  <si>
    <t>Maximum</t>
  </si>
  <si>
    <t>Unacceptable</t>
  </si>
  <si>
    <t>&gt;20</t>
  </si>
  <si>
    <t>Maximum disruption of project plan. Implement new process or plan</t>
  </si>
  <si>
    <t>High</t>
  </si>
  <si>
    <t>Major reduction in mission objectives</t>
  </si>
  <si>
    <t>15-20</t>
  </si>
  <si>
    <t>High disruption of project plan. Implement new project or plan</t>
  </si>
  <si>
    <t>Medium</t>
  </si>
  <si>
    <t>Moderate reduction</t>
  </si>
  <si>
    <t>10-14</t>
  </si>
  <si>
    <t>Some disruption of project plan. Consider alternative process</t>
  </si>
  <si>
    <t>Low</t>
  </si>
  <si>
    <t>5-9</t>
  </si>
  <si>
    <t>Little disruption of project plan. Management actions</t>
  </si>
  <si>
    <t>Minimum</t>
  </si>
  <si>
    <t>less than 0.1%</t>
  </si>
  <si>
    <t>Minimal or no impact</t>
  </si>
  <si>
    <t>&lt;5</t>
  </si>
  <si>
    <t>Little to no disruption. Mitigate with management</t>
  </si>
  <si>
    <t>Code</t>
  </si>
  <si>
    <t>Risk Name</t>
  </si>
  <si>
    <t>S</t>
  </si>
  <si>
    <t>L</t>
  </si>
  <si>
    <t>SxL</t>
  </si>
  <si>
    <t>Description</t>
  </si>
  <si>
    <t>Mitigation Strategy</t>
  </si>
  <si>
    <t>PL-1</t>
  </si>
  <si>
    <t>Regulations change</t>
  </si>
  <si>
    <t>Regulations change drastically in the next 5 years</t>
  </si>
  <si>
    <t>Close regulation monitoring during design.</t>
  </si>
  <si>
    <t>PL-2</t>
  </si>
  <si>
    <t xml:space="preserve">Battery technology level not achieved </t>
  </si>
  <si>
    <t>The energy density level of available batteries does not surpass the 400 Wh/kg</t>
  </si>
  <si>
    <t>Usage of alternative energetic systems</t>
  </si>
  <si>
    <t>PL-3</t>
  </si>
  <si>
    <t>In-house technology development not achieved</t>
  </si>
  <si>
    <t xml:space="preserve">The required propietary technologies are not developed successfully </t>
  </si>
  <si>
    <t>Usage of comercial alternatives compromising market competitiveness</t>
  </si>
  <si>
    <t>PL-4</t>
  </si>
  <si>
    <t>Funding not achieved</t>
  </si>
  <si>
    <t>Capital investors or funding opportunities are not interested in the project</t>
  </si>
  <si>
    <t>Major project focus change to attract the capital necessary</t>
  </si>
  <si>
    <t>PL-5</t>
  </si>
  <si>
    <t>Manufacturing capabilities not as efficient as estimated</t>
  </si>
  <si>
    <t>The engineering and production costs grow because of manufacturing limitations</t>
  </si>
  <si>
    <t>Close production engineering monitoring from early stages of the design</t>
  </si>
  <si>
    <t>PL-6</t>
  </si>
  <si>
    <t>Aircraft modularity compromises the eVTOL mission</t>
  </si>
  <si>
    <t>The modularity makes the project too complex and the resulting configurations are not as efficient as required</t>
  </si>
  <si>
    <t xml:space="preserve">Top mission priorities definition and system-level analysis from the beginning of the project  </t>
  </si>
  <si>
    <t>PL-7</t>
  </si>
  <si>
    <t>Proof-of-concept not achievable</t>
  </si>
  <si>
    <t>The concept results unachievable by the deadline for the PoC</t>
  </si>
  <si>
    <t>Redefinition of the PoC and resource intesification towards this objective</t>
  </si>
  <si>
    <t>PL-8</t>
  </si>
  <si>
    <t>Market shift in mobility trends</t>
  </si>
  <si>
    <t>The air mobility is no longer a need for the market</t>
  </si>
  <si>
    <t>Shifting focus to other market needs (cargo, military, etc)</t>
  </si>
  <si>
    <t>PL-9</t>
  </si>
  <si>
    <t xml:space="preserve">Certification not achievable </t>
  </si>
  <si>
    <t>The regulators impose higher levels for certification that make the aircraft non-viable</t>
  </si>
  <si>
    <t>Major aircraft design changes need to be made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</si>
</sst>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Border="1" applyFont="1"/>
    <xf borderId="2" fillId="0" fontId="1" numFmtId="0" xfId="0" applyAlignment="1" applyBorder="1" applyFont="1">
      <alignment horizontal="center" readingOrder="0"/>
    </xf>
    <xf borderId="0" fillId="0" fontId="1" numFmtId="0" xfId="0" applyAlignment="1" applyFont="1">
      <alignment readingOrder="0"/>
    </xf>
    <xf borderId="3" fillId="0" fontId="1" numFmtId="0" xfId="0" applyAlignment="1" applyBorder="1" applyFont="1">
      <alignment readingOrder="0"/>
    </xf>
    <xf borderId="3" fillId="0" fontId="3" numFmtId="0" xfId="0" applyBorder="1" applyFont="1"/>
    <xf borderId="3" fillId="0" fontId="3" numFmtId="0" xfId="0" applyAlignment="1" applyBorder="1" applyFont="1">
      <alignment readingOrder="0"/>
    </xf>
    <xf borderId="3" fillId="0" fontId="3" numFmtId="9" xfId="0" applyAlignment="1" applyBorder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49" xfId="0" applyAlignment="1" applyFont="1" applyNumberFormat="1">
      <alignment readingOrder="0"/>
    </xf>
    <xf borderId="3" fillId="0" fontId="3" numFmtId="164" xfId="0" applyAlignment="1" applyBorder="1" applyFont="1" applyNumberFormat="1">
      <alignment readingOrder="0"/>
    </xf>
    <xf borderId="4" fillId="0" fontId="2" numFmtId="0" xfId="0" applyBorder="1" applyFont="1"/>
    <xf borderId="5" fillId="0" fontId="2" numFmtId="0" xfId="0" applyBorder="1" applyFont="1"/>
    <xf borderId="3" fillId="0" fontId="1" numFmtId="0" xfId="0" applyAlignment="1" applyBorder="1" applyFont="1">
      <alignment horizontal="left" readingOrder="0" shrinkToFit="0" vertical="top" wrapText="1"/>
    </xf>
    <xf borderId="0" fillId="0" fontId="1" numFmtId="0" xfId="0" applyAlignment="1" applyFont="1">
      <alignment horizontal="left" shrinkToFit="0" vertical="top" wrapText="1"/>
    </xf>
    <xf borderId="3" fillId="0" fontId="3" numFmtId="0" xfId="0" applyAlignment="1" applyBorder="1" applyFont="1">
      <alignment horizontal="left" readingOrder="0" shrinkToFit="0" vertical="top" wrapText="1"/>
    </xf>
    <xf borderId="3" fillId="0" fontId="3" numFmtId="0" xfId="0" applyAlignment="1" applyBorder="1" applyFont="1">
      <alignment horizontal="left" shrinkToFit="0" vertical="top" wrapText="1"/>
    </xf>
    <xf borderId="0" fillId="0" fontId="3" numFmtId="0" xfId="0" applyAlignment="1" applyFont="1">
      <alignment horizontal="left" shrinkToFit="0" vertical="top" wrapText="1"/>
    </xf>
    <xf borderId="0" fillId="0" fontId="3" numFmtId="0" xfId="0" applyFont="1"/>
  </cellXfs>
  <cellStyles count="1">
    <cellStyle xfId="0" name="Normal" builtinId="0"/>
  </cellStyles>
  <dxfs count="5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980000"/>
          <bgColor rgb="FF98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4.63"/>
    <col customWidth="1" min="8" max="12" width="4.38"/>
  </cols>
  <sheetData>
    <row r="1">
      <c r="A1" s="1" t="s">
        <v>0</v>
      </c>
      <c r="B1" s="2"/>
      <c r="C1" s="3" t="s">
        <v>1</v>
      </c>
      <c r="D1" s="4" t="s">
        <v>2</v>
      </c>
      <c r="F1" s="4" t="s">
        <v>2</v>
      </c>
      <c r="G1" s="5">
        <v>5.0</v>
      </c>
      <c r="H1" s="6">
        <f t="shared" ref="H1:H5" si="1">G1*$H$6</f>
        <v>5</v>
      </c>
      <c r="I1" s="6">
        <f t="shared" ref="I1:I5" si="2">G1*$I$6</f>
        <v>10</v>
      </c>
      <c r="J1" s="6">
        <f t="shared" ref="J1:J5" si="3">G1*$J$6</f>
        <v>15</v>
      </c>
      <c r="K1" s="6">
        <f t="shared" ref="K1:K5" si="4">G1*$K$6</f>
        <v>20</v>
      </c>
      <c r="L1" s="6">
        <f t="shared" ref="L1:L5" si="5">G1*$L$6</f>
        <v>25</v>
      </c>
      <c r="N1" s="4" t="s">
        <v>3</v>
      </c>
      <c r="O1" s="4" t="s">
        <v>4</v>
      </c>
    </row>
    <row r="2">
      <c r="A2" s="7">
        <v>5.0</v>
      </c>
      <c r="B2" s="7" t="s">
        <v>5</v>
      </c>
      <c r="C2" s="8">
        <v>1.0</v>
      </c>
      <c r="D2" s="7" t="s">
        <v>6</v>
      </c>
      <c r="G2" s="5">
        <v>4.0</v>
      </c>
      <c r="H2" s="6">
        <f t="shared" si="1"/>
        <v>4</v>
      </c>
      <c r="I2" s="6">
        <f t="shared" si="2"/>
        <v>8</v>
      </c>
      <c r="J2" s="6">
        <f t="shared" si="3"/>
        <v>12</v>
      </c>
      <c r="K2" s="6">
        <f t="shared" si="4"/>
        <v>16</v>
      </c>
      <c r="L2" s="6">
        <f t="shared" si="5"/>
        <v>20</v>
      </c>
      <c r="N2" s="6" t="s">
        <v>7</v>
      </c>
      <c r="O2" s="9" t="s">
        <v>8</v>
      </c>
    </row>
    <row r="3">
      <c r="A3" s="7">
        <v>4.0</v>
      </c>
      <c r="B3" s="7" t="s">
        <v>9</v>
      </c>
      <c r="C3" s="8">
        <v>0.1</v>
      </c>
      <c r="D3" s="7" t="s">
        <v>10</v>
      </c>
      <c r="G3" s="5">
        <v>3.0</v>
      </c>
      <c r="H3" s="6">
        <f t="shared" si="1"/>
        <v>3</v>
      </c>
      <c r="I3" s="6">
        <f t="shared" si="2"/>
        <v>6</v>
      </c>
      <c r="J3" s="6">
        <f t="shared" si="3"/>
        <v>9</v>
      </c>
      <c r="K3" s="6">
        <f t="shared" si="4"/>
        <v>12</v>
      </c>
      <c r="L3" s="6">
        <f t="shared" si="5"/>
        <v>15</v>
      </c>
      <c r="N3" s="9" t="s">
        <v>11</v>
      </c>
      <c r="O3" s="9" t="s">
        <v>12</v>
      </c>
    </row>
    <row r="4">
      <c r="A4" s="7">
        <v>3.0</v>
      </c>
      <c r="B4" s="7" t="s">
        <v>13</v>
      </c>
      <c r="C4" s="8">
        <v>0.01</v>
      </c>
      <c r="D4" s="7" t="s">
        <v>14</v>
      </c>
      <c r="G4" s="5">
        <v>2.0</v>
      </c>
      <c r="H4" s="6">
        <f t="shared" si="1"/>
        <v>2</v>
      </c>
      <c r="I4" s="6">
        <f t="shared" si="2"/>
        <v>4</v>
      </c>
      <c r="J4" s="6">
        <f t="shared" si="3"/>
        <v>6</v>
      </c>
      <c r="K4" s="6">
        <f t="shared" si="4"/>
        <v>8</v>
      </c>
      <c r="L4" s="6">
        <f t="shared" si="5"/>
        <v>10</v>
      </c>
      <c r="N4" s="10" t="s">
        <v>15</v>
      </c>
      <c r="O4" s="9" t="s">
        <v>16</v>
      </c>
    </row>
    <row r="5">
      <c r="A5" s="7">
        <v>2.0</v>
      </c>
      <c r="B5" s="7" t="s">
        <v>17</v>
      </c>
      <c r="C5" s="11">
        <v>0.001</v>
      </c>
      <c r="D5" s="7" t="s">
        <v>14</v>
      </c>
      <c r="G5" s="5">
        <v>1.0</v>
      </c>
      <c r="H5" s="6">
        <f t="shared" si="1"/>
        <v>1</v>
      </c>
      <c r="I5" s="6">
        <f t="shared" si="2"/>
        <v>2</v>
      </c>
      <c r="J5" s="6">
        <f t="shared" si="3"/>
        <v>3</v>
      </c>
      <c r="K5" s="6">
        <f t="shared" si="4"/>
        <v>4</v>
      </c>
      <c r="L5" s="6">
        <f t="shared" si="5"/>
        <v>5</v>
      </c>
      <c r="N5" s="10" t="s">
        <v>18</v>
      </c>
      <c r="O5" s="9" t="s">
        <v>19</v>
      </c>
    </row>
    <row r="6">
      <c r="A6" s="7">
        <v>1.0</v>
      </c>
      <c r="B6" s="7" t="s">
        <v>20</v>
      </c>
      <c r="C6" s="7" t="s">
        <v>21</v>
      </c>
      <c r="D6" s="7" t="s">
        <v>22</v>
      </c>
      <c r="H6" s="5">
        <v>1.0</v>
      </c>
      <c r="I6" s="5">
        <v>2.0</v>
      </c>
      <c r="J6" s="5">
        <v>3.0</v>
      </c>
      <c r="K6" s="5">
        <v>4.0</v>
      </c>
      <c r="L6" s="5">
        <v>5.0</v>
      </c>
      <c r="N6" s="9" t="s">
        <v>23</v>
      </c>
      <c r="O6" s="9" t="s">
        <v>24</v>
      </c>
    </row>
    <row r="7">
      <c r="H7" s="4" t="s">
        <v>1</v>
      </c>
    </row>
    <row r="8">
      <c r="A8" s="3" t="s">
        <v>2</v>
      </c>
      <c r="B8" s="12"/>
      <c r="C8" s="13"/>
    </row>
    <row r="9">
      <c r="A9" s="7">
        <v>5.0</v>
      </c>
      <c r="B9" s="7" t="s">
        <v>5</v>
      </c>
      <c r="C9" s="7" t="s">
        <v>6</v>
      </c>
    </row>
    <row r="10">
      <c r="A10" s="7">
        <v>4.0</v>
      </c>
      <c r="B10" s="7" t="s">
        <v>9</v>
      </c>
      <c r="C10" s="7" t="s">
        <v>10</v>
      </c>
    </row>
    <row r="11">
      <c r="A11" s="7">
        <v>3.0</v>
      </c>
      <c r="B11" s="7" t="s">
        <v>13</v>
      </c>
      <c r="C11" s="7" t="s">
        <v>14</v>
      </c>
    </row>
    <row r="12">
      <c r="A12" s="7">
        <v>2.0</v>
      </c>
      <c r="B12" s="7" t="s">
        <v>17</v>
      </c>
      <c r="C12" s="7" t="s">
        <v>14</v>
      </c>
    </row>
    <row r="13">
      <c r="A13" s="7">
        <v>1.0</v>
      </c>
      <c r="B13" s="7" t="s">
        <v>20</v>
      </c>
      <c r="C13" s="7" t="s">
        <v>22</v>
      </c>
    </row>
  </sheetData>
  <mergeCells count="2">
    <mergeCell ref="A1:B1"/>
    <mergeCell ref="A8:C8"/>
  </mergeCells>
  <conditionalFormatting sqref="H1:L5 N2">
    <cfRule type="cellIs" dxfId="0" priority="1" operator="between">
      <formula>0</formula>
      <formula>4</formula>
    </cfRule>
  </conditionalFormatting>
  <conditionalFormatting sqref="H1:L5 N2">
    <cfRule type="cellIs" dxfId="1" priority="2" operator="between">
      <formula>5</formula>
      <formula>9</formula>
    </cfRule>
  </conditionalFormatting>
  <conditionalFormatting sqref="H1:L5 N2">
    <cfRule type="cellIs" dxfId="2" priority="3" operator="between">
      <formula>10</formula>
      <formula>14</formula>
    </cfRule>
  </conditionalFormatting>
  <conditionalFormatting sqref="H1:L5 N2">
    <cfRule type="cellIs" dxfId="3" priority="4" operator="between">
      <formula>15</formula>
      <formula>20</formula>
    </cfRule>
  </conditionalFormatting>
  <conditionalFormatting sqref="H1:L5 N2">
    <cfRule type="cellIs" dxfId="4" priority="5" operator="between">
      <formula>21</formula>
      <formula>25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25.38"/>
    <col customWidth="1" min="3" max="3" width="3.0"/>
    <col customWidth="1" min="4" max="4" width="2.5"/>
    <col customWidth="1" min="5" max="5" width="7.13"/>
    <col customWidth="1" min="6" max="6" width="23.0"/>
    <col customWidth="1" min="7" max="7" width="24.13"/>
  </cols>
  <sheetData>
    <row r="1">
      <c r="A1" s="14" t="s">
        <v>25</v>
      </c>
      <c r="B1" s="14" t="s">
        <v>26</v>
      </c>
      <c r="C1" s="14" t="s">
        <v>27</v>
      </c>
      <c r="D1" s="14" t="s">
        <v>28</v>
      </c>
      <c r="E1" s="14" t="s">
        <v>29</v>
      </c>
      <c r="F1" s="14" t="s">
        <v>30</v>
      </c>
      <c r="G1" s="14" t="s">
        <v>31</v>
      </c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6" t="s">
        <v>32</v>
      </c>
      <c r="B2" s="16" t="s">
        <v>33</v>
      </c>
      <c r="C2" s="16">
        <v>5.0</v>
      </c>
      <c r="D2" s="16">
        <v>2.0</v>
      </c>
      <c r="E2" s="17">
        <f t="shared" ref="E2:E10" si="1">C2*D2</f>
        <v>10</v>
      </c>
      <c r="F2" s="16" t="s">
        <v>34</v>
      </c>
      <c r="G2" s="16" t="s">
        <v>35</v>
      </c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6" t="s">
        <v>36</v>
      </c>
      <c r="B3" s="16" t="s">
        <v>37</v>
      </c>
      <c r="C3" s="16">
        <v>4.0</v>
      </c>
      <c r="D3" s="16">
        <v>3.0</v>
      </c>
      <c r="E3" s="17">
        <f t="shared" si="1"/>
        <v>12</v>
      </c>
      <c r="F3" s="16" t="s">
        <v>38</v>
      </c>
      <c r="G3" s="16" t="s">
        <v>39</v>
      </c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16" t="s">
        <v>40</v>
      </c>
      <c r="B4" s="16" t="s">
        <v>41</v>
      </c>
      <c r="C4" s="16">
        <v>3.0</v>
      </c>
      <c r="D4" s="16">
        <v>3.0</v>
      </c>
      <c r="E4" s="17">
        <f t="shared" si="1"/>
        <v>9</v>
      </c>
      <c r="F4" s="16" t="s">
        <v>42</v>
      </c>
      <c r="G4" s="16" t="s">
        <v>43</v>
      </c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16" t="s">
        <v>44</v>
      </c>
      <c r="B5" s="16" t="s">
        <v>45</v>
      </c>
      <c r="C5" s="16">
        <v>4.0</v>
      </c>
      <c r="D5" s="16">
        <v>3.0</v>
      </c>
      <c r="E5" s="17">
        <f t="shared" si="1"/>
        <v>12</v>
      </c>
      <c r="F5" s="16" t="s">
        <v>46</v>
      </c>
      <c r="G5" s="16" t="s">
        <v>47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16" t="s">
        <v>48</v>
      </c>
      <c r="B6" s="16" t="s">
        <v>49</v>
      </c>
      <c r="C6" s="16">
        <v>2.0</v>
      </c>
      <c r="D6" s="16">
        <v>2.0</v>
      </c>
      <c r="E6" s="17">
        <f t="shared" si="1"/>
        <v>4</v>
      </c>
      <c r="F6" s="16" t="s">
        <v>50</v>
      </c>
      <c r="G6" s="16" t="s">
        <v>51</v>
      </c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16" t="s">
        <v>52</v>
      </c>
      <c r="B7" s="16" t="s">
        <v>53</v>
      </c>
      <c r="C7" s="16">
        <v>5.0</v>
      </c>
      <c r="D7" s="16">
        <v>3.0</v>
      </c>
      <c r="E7" s="17">
        <f t="shared" si="1"/>
        <v>15</v>
      </c>
      <c r="F7" s="16" t="s">
        <v>54</v>
      </c>
      <c r="G7" s="16" t="s">
        <v>55</v>
      </c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16" t="s">
        <v>56</v>
      </c>
      <c r="B8" s="16" t="s">
        <v>57</v>
      </c>
      <c r="C8" s="16">
        <v>4.0</v>
      </c>
      <c r="D8" s="16">
        <v>2.0</v>
      </c>
      <c r="E8" s="17">
        <f t="shared" si="1"/>
        <v>8</v>
      </c>
      <c r="F8" s="16" t="s">
        <v>58</v>
      </c>
      <c r="G8" s="16" t="s">
        <v>59</v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16" t="s">
        <v>60</v>
      </c>
      <c r="B9" s="16" t="s">
        <v>61</v>
      </c>
      <c r="C9" s="16">
        <v>3.0</v>
      </c>
      <c r="D9" s="16">
        <v>1.0</v>
      </c>
      <c r="E9" s="17">
        <f t="shared" si="1"/>
        <v>3</v>
      </c>
      <c r="F9" s="16" t="s">
        <v>62</v>
      </c>
      <c r="G9" s="16" t="s">
        <v>63</v>
      </c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6" t="s">
        <v>64</v>
      </c>
      <c r="B10" s="16" t="s">
        <v>65</v>
      </c>
      <c r="C10" s="16">
        <v>5.0</v>
      </c>
      <c r="D10" s="16">
        <v>3.0</v>
      </c>
      <c r="E10" s="17">
        <f t="shared" si="1"/>
        <v>15</v>
      </c>
      <c r="F10" s="16" t="s">
        <v>66</v>
      </c>
      <c r="G10" s="16" t="s">
        <v>67</v>
      </c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conditionalFormatting sqref="E2:E14">
    <cfRule type="cellIs" dxfId="0" priority="1" operator="between">
      <formula>0</formula>
      <formula>4</formula>
    </cfRule>
  </conditionalFormatting>
  <conditionalFormatting sqref="E2:E14">
    <cfRule type="cellIs" dxfId="1" priority="2" operator="between">
      <formula>5</formula>
      <formula>9</formula>
    </cfRule>
  </conditionalFormatting>
  <conditionalFormatting sqref="E2:E14">
    <cfRule type="cellIs" dxfId="2" priority="3" operator="between">
      <formula>10</formula>
      <formula>14</formula>
    </cfRule>
  </conditionalFormatting>
  <conditionalFormatting sqref="E2:E14">
    <cfRule type="cellIs" dxfId="2" priority="4" operator="between">
      <formula>10</formula>
      <formula>14</formula>
    </cfRule>
  </conditionalFormatting>
  <conditionalFormatting sqref="E2:E14">
    <cfRule type="cellIs" dxfId="3" priority="5" operator="between">
      <formula>15</formula>
      <formula>20</formula>
    </cfRule>
  </conditionalFormatting>
  <conditionalFormatting sqref="E2:E14">
    <cfRule type="cellIs" dxfId="4" priority="6" operator="between">
      <formula>21</formula>
      <formula>26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30.38"/>
    <col customWidth="1" min="3" max="3" width="2.88"/>
    <col customWidth="1" min="4" max="4" width="3.13"/>
    <col customWidth="1" min="5" max="5" width="4.88"/>
    <col customWidth="1" min="6" max="6" width="41.38"/>
    <col customWidth="1" min="7" max="7" width="42.0"/>
  </cols>
  <sheetData>
    <row r="1">
      <c r="A1" s="5" t="s">
        <v>25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G1" s="5" t="s">
        <v>31</v>
      </c>
    </row>
    <row r="2">
      <c r="A2" s="9" t="s">
        <v>32</v>
      </c>
      <c r="B2" s="9" t="s">
        <v>33</v>
      </c>
      <c r="C2" s="9">
        <v>5.0</v>
      </c>
      <c r="D2" s="9">
        <v>2.0</v>
      </c>
      <c r="E2" s="19">
        <f>C2*D2</f>
        <v>10</v>
      </c>
    </row>
    <row r="3">
      <c r="E3" s="9">
        <v>15.0</v>
      </c>
    </row>
    <row r="4">
      <c r="E4" s="9">
        <v>21.0</v>
      </c>
    </row>
    <row r="5">
      <c r="E5" s="9">
        <v>5.0</v>
      </c>
    </row>
    <row r="6">
      <c r="E6" s="9">
        <v>3.0</v>
      </c>
    </row>
  </sheetData>
  <conditionalFormatting sqref="E2:E14">
    <cfRule type="cellIs" dxfId="0" priority="1" operator="between">
      <formula>0</formula>
      <formula>4</formula>
    </cfRule>
  </conditionalFormatting>
  <conditionalFormatting sqref="E2:E14">
    <cfRule type="cellIs" dxfId="1" priority="2" operator="between">
      <formula>5</formula>
      <formula>9</formula>
    </cfRule>
  </conditionalFormatting>
  <conditionalFormatting sqref="E2:E14">
    <cfRule type="cellIs" dxfId="2" priority="3" operator="between">
      <formula>10</formula>
      <formula>14</formula>
    </cfRule>
  </conditionalFormatting>
  <conditionalFormatting sqref="E2:E14">
    <cfRule type="cellIs" dxfId="2" priority="4" operator="between">
      <formula>10</formula>
      <formula>14</formula>
    </cfRule>
  </conditionalFormatting>
  <conditionalFormatting sqref="E2:E14">
    <cfRule type="cellIs" dxfId="3" priority="5" operator="between">
      <formula>15</formula>
      <formula>20</formula>
    </cfRule>
  </conditionalFormatting>
  <conditionalFormatting sqref="E2:E14">
    <cfRule type="cellIs" dxfId="4" priority="6" operator="between">
      <formula>21</formula>
      <formula>26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33.0"/>
    <col customWidth="1" min="3" max="3" width="2.75"/>
    <col customWidth="1" min="4" max="4" width="3.25"/>
    <col customWidth="1" min="5" max="5" width="5.13"/>
    <col customWidth="1" min="6" max="6" width="37.88"/>
    <col customWidth="1" min="7" max="7" width="38.25"/>
  </cols>
  <sheetData>
    <row r="1">
      <c r="A1" s="5" t="s">
        <v>25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G1" s="5" t="s">
        <v>31</v>
      </c>
    </row>
    <row r="2">
      <c r="A2" s="9" t="s">
        <v>32</v>
      </c>
      <c r="B2" s="9" t="s">
        <v>33</v>
      </c>
      <c r="C2" s="9">
        <v>5.0</v>
      </c>
      <c r="D2" s="9">
        <v>2.0</v>
      </c>
      <c r="E2" s="19">
        <f>C2*D2</f>
        <v>10</v>
      </c>
    </row>
    <row r="3">
      <c r="E3" s="9">
        <v>15.0</v>
      </c>
    </row>
    <row r="4">
      <c r="E4" s="9">
        <v>21.0</v>
      </c>
    </row>
    <row r="5">
      <c r="E5" s="9">
        <v>5.0</v>
      </c>
    </row>
    <row r="6">
      <c r="E6" s="9">
        <v>3.0</v>
      </c>
    </row>
  </sheetData>
  <conditionalFormatting sqref="E2:E6">
    <cfRule type="cellIs" dxfId="0" priority="1" operator="between">
      <formula>0</formula>
      <formula>4</formula>
    </cfRule>
  </conditionalFormatting>
  <conditionalFormatting sqref="E2:E6">
    <cfRule type="cellIs" dxfId="1" priority="2" operator="between">
      <formula>5</formula>
      <formula>9</formula>
    </cfRule>
  </conditionalFormatting>
  <conditionalFormatting sqref="E2:E6">
    <cfRule type="cellIs" dxfId="2" priority="3" operator="between">
      <formula>10</formula>
      <formula>14</formula>
    </cfRule>
  </conditionalFormatting>
  <conditionalFormatting sqref="E2:E6">
    <cfRule type="cellIs" dxfId="2" priority="4" operator="between">
      <formula>10</formula>
      <formula>14</formula>
    </cfRule>
  </conditionalFormatting>
  <conditionalFormatting sqref="E2:E6">
    <cfRule type="cellIs" dxfId="3" priority="5" operator="between">
      <formula>15</formula>
      <formula>20</formula>
    </cfRule>
  </conditionalFormatting>
  <conditionalFormatting sqref="E2:E6">
    <cfRule type="cellIs" dxfId="4" priority="6" operator="between">
      <formula>21</formula>
      <formula>26</formula>
    </cfRule>
  </conditionalFormatting>
  <drawing r:id="rId1"/>
</worksheet>
</file>