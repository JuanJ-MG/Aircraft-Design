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+C (SL)" sheetId="1" r:id="rId4"/>
    <sheet state="visible" name="Ducted (AT)" sheetId="2" r:id="rId5"/>
    <sheet state="visible" name="Vectored (JJ)" sheetId="3" r:id="rId6"/>
    <sheet state="visible" name="Vectored (ML)" sheetId="4" r:id="rId7"/>
  </sheets>
  <definedNames/>
  <calcPr/>
</workbook>
</file>

<file path=xl/sharedStrings.xml><?xml version="1.0" encoding="utf-8"?>
<sst xmlns="http://schemas.openxmlformats.org/spreadsheetml/2006/main" count="27" uniqueCount="26">
  <si>
    <t>Calculate the batteries, number of motors and MTOW for an aircraft of 200km. Speeds, wing areas (estimate). Noise. Basic or enhanced in EASA regulations.</t>
  </si>
  <si>
    <t>If range not accomplished, explain why.</t>
  </si>
  <si>
    <t>Draw a rough sketch of the design (showing the propulsion configuration).</t>
  </si>
  <si>
    <t>Battery percentage</t>
  </si>
  <si>
    <t>Variable</t>
  </si>
  <si>
    <t>Value</t>
  </si>
  <si>
    <t>Units</t>
  </si>
  <si>
    <t>Cruise</t>
  </si>
  <si>
    <t>R=</t>
  </si>
  <si>
    <t>km</t>
  </si>
  <si>
    <t>VTOL</t>
  </si>
  <si>
    <t>n=</t>
  </si>
  <si>
    <t>dimensionless</t>
  </si>
  <si>
    <t>Reserve</t>
  </si>
  <si>
    <t>Battery pack</t>
  </si>
  <si>
    <t>wh/kg</t>
  </si>
  <si>
    <t>Unusable</t>
  </si>
  <si>
    <t>C</t>
  </si>
  <si>
    <t>J</t>
  </si>
  <si>
    <t>Total</t>
  </si>
  <si>
    <t>L/D</t>
  </si>
  <si>
    <t>W</t>
  </si>
  <si>
    <t>N</t>
  </si>
  <si>
    <t>*assuming tecnam p2006t cruise speed of 260 km/h</t>
  </si>
  <si>
    <t>Static thrust</t>
  </si>
  <si>
    <t>number of props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</si>
</sst>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0" fillId="0" fontId="1" numFmtId="11" xfId="0" applyAlignment="1" applyFont="1" applyNumberFormat="1">
      <alignment readingOrder="0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676275</xdr:colOff>
      <xdr:row>1</xdr:row>
      <xdr:rowOff>85725</xdr:rowOff>
    </xdr:from>
    <xdr:ext cx="2943225" cy="11906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10</xdr:row>
      <xdr:rowOff>114300</xdr:rowOff>
    </xdr:from>
    <xdr:ext cx="5943600" cy="10477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0</xdr:row>
      <xdr:rowOff>180975</xdr:rowOff>
    </xdr:from>
    <xdr:ext cx="5524500" cy="4210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22</xdr:row>
      <xdr:rowOff>28575</xdr:rowOff>
    </xdr:from>
    <xdr:ext cx="5524500" cy="20574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32</xdr:row>
      <xdr:rowOff>104775</xdr:rowOff>
    </xdr:from>
    <xdr:ext cx="5524500" cy="708660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0</xdr:row>
      <xdr:rowOff>200025</xdr:rowOff>
    </xdr:from>
    <xdr:ext cx="3790950" cy="351472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3</v>
      </c>
      <c r="K2" s="3" t="s">
        <v>4</v>
      </c>
      <c r="L2" s="3" t="s">
        <v>5</v>
      </c>
      <c r="M2" s="3" t="s">
        <v>6</v>
      </c>
    </row>
    <row r="3">
      <c r="A3" s="1" t="s">
        <v>7</v>
      </c>
      <c r="B3" s="1">
        <v>0.6</v>
      </c>
      <c r="K3" s="3" t="s">
        <v>8</v>
      </c>
      <c r="L3" s="4">
        <f>(L4*L7*L6*(1/(L8*10)))/1000</f>
        <v>134.64</v>
      </c>
      <c r="M3" s="3" t="s">
        <v>9</v>
      </c>
    </row>
    <row r="4">
      <c r="A4" s="1" t="s">
        <v>10</v>
      </c>
      <c r="B4" s="1">
        <v>0.12</v>
      </c>
      <c r="K4" s="3" t="s">
        <v>11</v>
      </c>
      <c r="L4" s="4">
        <v>0.85</v>
      </c>
      <c r="M4" s="3" t="s">
        <v>12</v>
      </c>
    </row>
    <row r="5">
      <c r="A5" s="1" t="s">
        <v>13</v>
      </c>
      <c r="B5" s="1">
        <v>0.2</v>
      </c>
      <c r="K5" s="3" t="s">
        <v>14</v>
      </c>
      <c r="L5" s="4">
        <v>200.0</v>
      </c>
      <c r="M5" s="3" t="s">
        <v>15</v>
      </c>
    </row>
    <row r="6">
      <c r="A6" s="1" t="s">
        <v>16</v>
      </c>
      <c r="B6" s="1">
        <v>0.04</v>
      </c>
      <c r="F6" s="5"/>
      <c r="K6" s="3" t="s">
        <v>17</v>
      </c>
      <c r="L6" s="3">
        <f>((L8/3)*(L5/1000)*3600000)*0.6</f>
        <v>374400000</v>
      </c>
      <c r="M6" s="3" t="s">
        <v>18</v>
      </c>
    </row>
    <row r="7">
      <c r="A7" s="1" t="s">
        <v>19</v>
      </c>
      <c r="B7" s="6">
        <f>SUM(B2:B6)</f>
        <v>0.96</v>
      </c>
      <c r="K7" s="3" t="s">
        <v>20</v>
      </c>
      <c r="L7" s="3">
        <v>11.0</v>
      </c>
      <c r="M7" s="3" t="s">
        <v>12</v>
      </c>
    </row>
    <row r="8">
      <c r="K8" s="3" t="s">
        <v>21</v>
      </c>
      <c r="L8" s="3">
        <v>2600.0</v>
      </c>
      <c r="M8" s="3" t="s">
        <v>22</v>
      </c>
    </row>
    <row r="10">
      <c r="K10" s="2" t="s">
        <v>23</v>
      </c>
    </row>
    <row r="18">
      <c r="D18" s="1" t="s">
        <v>24</v>
      </c>
      <c r="E18" s="1">
        <v>534.0</v>
      </c>
    </row>
    <row r="19">
      <c r="D19" s="1" t="s">
        <v>25</v>
      </c>
      <c r="E19" s="6">
        <f>L8/E18</f>
        <v>4.868913858</v>
      </c>
    </row>
    <row r="20">
      <c r="G20" s="7"/>
    </row>
  </sheetData>
  <mergeCells count="1">
    <mergeCell ref="K10:M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